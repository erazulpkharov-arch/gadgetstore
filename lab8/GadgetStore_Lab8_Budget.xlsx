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6f0e6a486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Шолу" sheetId="1" r:id="R65c6db82d10f45c2"/>
    <x:sheet xmlns:r="http://schemas.openxmlformats.org/officeDocument/2006/relationships" name="12 айлық бюджет" sheetId="2" r:id="R7eda00df50ea46cb"/>
    <x:sheet xmlns:r="http://schemas.openxmlformats.org/officeDocument/2006/relationships" name="Орналастыру" sheetId="3" r:id="R03ed09fb43024986"/>
    <x:sheet xmlns:r="http://schemas.openxmlformats.org/officeDocument/2006/relationships" name="Болжамдар" sheetId="4" r:id="R1135820a92a7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 &quot;KZT&quot;;[Red](#,##0 &quot;KZT&quot;)"/>
    <x:numFmt numFmtId="201" formatCode="mmm-yy"/>
    <x:numFmt numFmtId="202" formatCode="#,##0"/>
  </x:numFmts>
  <x:fonts count="6">
    <x:font>
      <x:sz val="11"/>
      <x:name val="Carlito"/>
    </x:font>
    <x:font>
      <x:sz val="10"/>
      <x:color rgb="FF263442"/>
      <x:name val="Arial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b/>
      <x:sz val="10"/>
      <x:color rgb="FF263442"/>
      <x:name val="Arial"/>
    </x:font>
    <x:font>
      <x:i/>
      <x:sz val="10"/>
      <x:color rgb="FF5B6B7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5304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1" fontId="3" fillId="3" borderId="1" xfId="0" applyNumberFormat="1" applyFont="1" applyFill="1" applyBorder="1" applyAlignment="1">
      <x:alignment horizontal="center" vertical="center" wrapText="1"/>
    </x:xf>
    <x:xf numFmtId="201" fontId="3" fillId="3" borderId="2" xfId="0" applyNumberFormat="1" applyFont="1" applyFill="1" applyBorder="1" applyAlignment="1">
      <x:alignment horizontal="center" vertical="center" wrapText="1"/>
    </x:xf>
    <x:xf numFmtId="0" fontId="1" fillId="5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</x:xf>
    <x:xf numFmtId="200" fontId="4" fillId="6" borderId="2" xfId="0" applyNumberFormat="1" applyFont="1" applyFill="1" applyBorder="1" applyAlignment="1">
      <x:alignment vertical="center"/>
    </x:xf>
    <x:xf numFmtId="200" fontId="1" fillId="7" borderId="2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202" fontId="1" fillId="7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202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dd33ab54d418b" /><Relationship Type="http://schemas.openxmlformats.org/officeDocument/2006/relationships/theme" Target="/xl/theme/theme1.xml" Id="R0c4f32aaa8e24283" /><Relationship Type="http://schemas.openxmlformats.org/officeDocument/2006/relationships/sharedStrings" Target="/xl/sharedStrings.xml" Id="R017474b776bd426a" /><Relationship Type="http://schemas.openxmlformats.org/officeDocument/2006/relationships/worksheet" Target="/xl/worksheets/sheet1.xml" Id="R65c6db82d10f45c2" /><Relationship Type="http://schemas.openxmlformats.org/officeDocument/2006/relationships/worksheet" Target="/xl/worksheets/sheet2.xml" Id="R7eda00df50ea46cb" /><Relationship Type="http://schemas.openxmlformats.org/officeDocument/2006/relationships/worksheet" Target="/xl/worksheets/sheet3.xml" Id="R03ed09fb43024986" /><Relationship Type="http://schemas.openxmlformats.org/officeDocument/2006/relationships/worksheet" Target="/xl/worksheets/sheet4.xml" Id="R1135820a92a7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30" hidden="0" customWidth="1"/>
  </x:cols>
  <x:sheetData>
    <x:row r="1" ht="19.200000762939453" hidden="0" customHeight="1">
      <x:c r="A1" s="5" t="str">
        <x:v>GadgetStore - SoW, SLA/SLO және жоба бюджеті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22" t="str">
        <x:v>Орындаушы</x:v>
      </x:c>
      <x:c r="B3" s="14" t="str">
        <x:v>Зулпыхаров Ерасыл</x:v>
      </x:c>
      <x:c r="C3" s="1"/>
      <x:c r="D3" s="12" t="str">
        <x:v>Негізгі көрсеткіш</x:v>
      </x:c>
      <x:c r="E3" s="12" t="str">
        <x:v>Мән</x:v>
      </x:c>
      <x:c r="F3" s="12" t="str">
        <x:v>Түсіндірме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22" t="str">
        <x:v>Топ</x:v>
      </x:c>
      <x:c r="B4" s="14" t="str">
        <x:v>АЖ-43</x:v>
      </x:c>
      <x:c r="C4" s="1"/>
      <x:c r="D4" s="14" t="str">
        <x:v>12 айлық түсім</x:v>
      </x:c>
      <x:c r="E4" s="24" t="n">
        <x:f>'12 айлық бюджет'!N6</x:f>
        <x:v>17595000</x:v>
      </x:c>
      <x:c r="F4" s="14" t="str">
        <x:v>Болжамдық тапсырыстар мен орташа чек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22" t="str">
        <x:v>Күні</x:v>
      </x:c>
      <x:c r="B5" s="14" t="str">
        <x:v>22.10.2026</x:v>
      </x:c>
      <x:c r="C5" s="1"/>
      <x:c r="D5" s="14" t="str">
        <x:v>12 айлық шығын</x:v>
      </x:c>
      <x:c r="E5" s="24" t="n">
        <x:f>'12 айлық бюджет'!N17</x:f>
        <x:v>19354500</x:v>
      </x:c>
      <x:c r="F5" s="14" t="str">
        <x:v>Айнымалы + тұрақты + бір реттік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22" t="str">
        <x:v>Жоба</x:v>
      </x:c>
      <x:c r="B6" s="14" t="str">
        <x:v>GadgetStore локалдық интернет-дүкені</x:v>
      </x:c>
      <x:c r="C6" s="1"/>
      <x:c r="D6" s="14" t="str">
        <x:v>12 айлық нәтиже</x:v>
      </x:c>
      <x:c r="E6" s="24" t="n">
        <x:f>'12 айлық бюджет'!N18</x:f>
        <x:v>-1759500</x:v>
      </x:c>
      <x:c r="F6" s="14" t="str">
        <x:v>Түсім - барлық шығын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22" t="str">
        <x:v>Қолдану</x:v>
      </x:c>
      <x:c r="B7" s="14" t="str">
        <x:v>Оқу жобасы; жария төлем/сатылым жоқ</x:v>
      </x:c>
      <x:c r="C7" s="1"/>
      <x:c r="D7" s="14" t="str">
        <x:v>Contribution / тапсырыс</x:v>
      </x:c>
      <x:c r="E7" s="24" t="n">
        <x:f>'12 айлық бюджет'!N10/'12 айлық бюджет'!N5</x:f>
        <x:v>6500</x:v>
      </x:c>
      <x:c r="F7" s="14" t="str">
        <x:v>Орташа чек - айнымалы шығындар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22" t="str">
        <x:v>Негізгі сценарий</x:v>
      </x:c>
      <x:c r="B8" s="14" t="str">
        <x:v>Каталог → себет → тапсырысты рәсімдеу</x:v>
      </x:c>
      <x:c r="C8" s="1"/>
      <x:c r="D8" s="14" t="str">
        <x:v>Break-even / ай</x:v>
      </x:c>
      <x:c r="E8" s="32" t="n">
        <x:f>'12 айлық бюджет'!N21</x:f>
        <x:v>34</x:v>
      </x:c>
      <x:c r="F8" s="14" t="str">
        <x:v>Тұрақты шығынды жабатын жоспарлық тапсырыс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"/>
      <x:c r="B9" s="1"/>
      <x:c r="C9" s="1"/>
      <x:c r="D9" s="14" t="str">
        <x:v>Ең төмен TCO</x:v>
      </x:c>
      <x:c r="E9" s="24" t="n">
        <x:f>MIN('Орналастыру'!D4:D6)</x:f>
        <x:v>42000</x:v>
      </x:c>
      <x:c r="F9" s="14" t="str">
        <x:v>Орналастыру салыстыруы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7" t="str">
        <x:v>Scope of Work (SoW) - келісілетін жұмыс көлемі</x:v>
      </x:c>
      <x:c r="B11" s="7"/>
      <x:c r="C11" s="7"/>
      <x:c r="D11" s="7"/>
      <x:c r="E11" s="7"/>
      <x:c r="F11" s="7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12" t="str">
        <x:v>Нәтиже</x:v>
      </x:c>
      <x:c r="B12" s="12" t="str">
        <x:v>Қамту</x:v>
      </x:c>
      <x:c r="C12" s="12" t="str">
        <x:v>Қабылдау</x:v>
      </x:c>
      <x:c r="D12" s="12" t="str">
        <x:v>Кірмейді</x:v>
      </x:c>
      <x:c r="E12" s="12" t="str">
        <x:v>Өзгеріс тәртібі</x:v>
      </x:c>
      <x:c r="F12" s="12" t="str">
        <x:v>Нәтижеге құқық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36" hidden="0" customHeight="1">
      <x:c r="A13" s="17" t="str">
        <x:v>Каталог</x:v>
      </x:c>
      <x:c r="B13" s="17" t="str">
        <x:v>Өнімдер, іздеу, сүзгі, карточка</x:v>
      </x:c>
      <x:c r="C13" s="17" t="str">
        <x:v>12+ тауар, іздеу/санат жұмыс істейді</x:v>
      </x:c>
      <x:c r="D13" s="17" t="str">
        <x:v>Нақты ERP синхрондау</x:v>
      </x:c>
      <x:c r="E13" s="17" t="str">
        <x:v>Бэклогқа жазылады, еңбек/мерзім бағаланады</x:v>
      </x:c>
      <x:c r="F13" s="17" t="str">
        <x:v>Код пен оқу артефактілері орындаушыда; бастапқы ашық лицензиялар сақталады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36" hidden="0" customHeight="1">
      <x:c r="A14" s="17" t="str">
        <x:v>Тапсырыс</x:v>
      </x:c>
      <x:c r="B14" s="17" t="str">
        <x:v>Себет, POST /api/orders, SQLite, қор транзакциясы</x:v>
      </x:c>
      <x:c r="C14" s="17" t="str">
        <x:v>201 + ID; баға серверден; теріс қор жоқ</x:v>
      </x:c>
      <x:c r="D14" s="17" t="str">
        <x:v>Онлайн төлем, тасымалдаушы интеграциясы</x:v>
      </x:c>
      <x:c r="E14" s="17" t="str">
        <x:v>Must-have өзгерсе оқытушы/тапсырыс беруші бекітеді</x:v>
      </x:c>
      <x:c r="F14" s="17" t="str">
        <x:v>Сол сияқты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36" hidden="0" customHeight="1">
      <x:c r="A15" s="17" t="str">
        <x:v>Қабылдау</x:v>
      </x:c>
      <x:c r="B15" s="17" t="str">
        <x:v>README, API тесті, backup/restore хаттамасы</x:v>
      </x:c>
      <x:c r="C15" s="17" t="str">
        <x:v>Тексеруші сайтты іске қосып негізгі сценарийден өтеді</x:v>
      </x:c>
      <x:c r="D15" s="17" t="str">
        <x:v>24/7 қолдау және public launch</x:v>
      </x:c>
      <x:c r="E15" s="17" t="str">
        <x:v>Жазбаша request → әсер → бекіту → жаңа baseline</x:v>
      </x:c>
      <x:c r="F15" s="17" t="str">
        <x:v>Сол сияқты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36" hidden="0" customHeight="1">
      <x:c r="A16" s="17" t="str">
        <x:v>Қауіпсіздік</x:v>
      </x:c>
      <x:c r="B16" s="17" t="str">
        <x:v>B7-01..03 жоспарларын іске асыру</x:v>
      </x:c>
      <x:c r="C16" s="17" t="str">
        <x:v>Қабылдау критерийлері мен тест дәлелі</x:v>
      </x:c>
      <x:c r="D16" s="17" t="str">
        <x:v>Төлем PCI certification</x:v>
      </x:c>
      <x:c r="E16" s="17" t="str">
        <x:v>Релизге дейін тәуекел қайта бағаланады</x:v>
      </x:c>
      <x:c r="F16" s="17" t="str">
        <x:v>Сол сияқты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24" hidden="0" customHeight="1">
      <x:c r="A17" s="17" t="str">
        <x:v>Шекара</x:v>
      </x:c>
      <x:c r="B17" s="17" t="str">
        <x:v>12 апталық оқу инкременті</x:v>
      </x:c>
      <x:c r="C17" s="17" t="str">
        <x:v>M3: restore және қабылдау дәлелі</x:v>
      </x:c>
      <x:c r="D17" s="17" t="str">
        <x:v>Коммерциялық шарт, SLA сатуы</x:v>
      </x:c>
      <x:c r="E17" s="17" t="str">
        <x:v>Тек жазбаша бекітілген өзгеріс scope-қа кіреді</x:v>
      </x:c>
      <x:c r="F17" s="17" t="str">
        <x:v>Сол сияқты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7" t="str">
        <x:v>SLO / SLA және error budget</x:v>
      </x:c>
      <x:c r="B19" s="7"/>
      <x:c r="C19" s="7"/>
      <x:c r="D19" s="7"/>
      <x:c r="E19" s="7"/>
      <x:c r="F19" s="7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2" t="str">
        <x:v>Пайдаланушы сценарийі</x:v>
      </x:c>
      <x:c r="B20" s="12" t="str">
        <x:v>SLI</x:v>
      </x:c>
      <x:c r="C20" s="12" t="str">
        <x:v>SLO</x:v>
      </x:c>
      <x:c r="D20" s="12" t="str">
        <x:v>Error budget</x:v>
      </x:c>
      <x:c r="E20" s="12" t="str">
        <x:v>SLA міндеттемесі</x:v>
      </x:c>
      <x:c r="F20" s="12" t="str">
        <x:v>Өлшеу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36" hidden="0" customHeight="1">
      <x:c r="A21" s="17" t="str">
        <x:v>Каталогты ашу</x:v>
      </x:c>
      <x:c r="B21" s="17" t="str">
        <x:v>GET /api/products сәтті жауап үлесі</x:v>
      </x:c>
      <x:c r="C21" s="17" t="str">
        <x:v>Айына ≥99.0%</x:v>
      </x:c>
      <x:c r="D21" s="17" t="str">
        <x:v>7 сағ 18 мин / 30 күн</x:v>
      </x:c>
      <x:c r="E21" s="17" t="str">
        <x:v>Оқу жобасында ақшалай айыппұл жоқ; release gate ретінде</x:v>
      </x:c>
      <x:c r="F21" s="17" t="str">
        <x:v>Синтетикалық health/products probe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36" hidden="0" customHeight="1">
      <x:c r="A22" s="17" t="str">
        <x:v>Тапсырысты рәсімдеу</x:v>
      </x:c>
      <x:c r="B22" s="17" t="str">
        <x:v>Жарамды POST /api/orders p95</x:v>
      </x:c>
      <x:c r="C22" s="17" t="str">
        <x:v>p95 &lt; 1 сек, сәттілік ≥99.0%</x:v>
      </x:c>
      <x:c r="D22" s="17" t="str">
        <x:v>Сол 7 сағ 18 мин; latency үшін айлық p95 шек</x:v>
      </x:c>
      <x:c r="E22" s="17" t="str">
        <x:v>Клиентке тек тестілік міндеттеме; нақты коммерциялық SLA емес</x:v>
      </x:c>
      <x:c r="F22" s="17" t="str">
        <x:v>request ID, latency, статус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36" hidden="0" customHeight="1">
      <x:c r="A23" s="17" t="str">
        <x:v>Деректі қалпына келтіру</x:v>
      </x:c>
      <x:c r="B23" s="17" t="str">
        <x:v>Соңғы жарамды backup жасы және restore уақыты</x:v>
      </x:c>
      <x:c r="C23" s="17" t="str">
        <x:v>RPO ≤24 сағ; RTO ≤30 мин</x:v>
      </x:c>
      <x:c r="D23" s="17" t="str">
        <x:v>RPO/RTO бұзылса release тоқтайды</x:v>
      </x:c>
      <x:c r="E23" s="17" t="str">
        <x:v>Қызметтік кредит қаралмайды; инцидент хаттамасы</x:v>
      </x:c>
      <x:c r="F23" s="17" t="str">
        <x:v>backup жасы, integrity_check, restore таймері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36" hidden="0" customHeight="1">
      <x:c r="A24" s="17" t="str">
        <x:v>SLA ережесі</x:v>
      </x:c>
      <x:c r="B24" s="17" t="str">
        <x:v>Қолжетімділік</x:v>
      </x:c>
      <x:c r="C24" s="17" t="str">
        <x:v>SLO 2 ай қатарынан орындалмаса</x:v>
      </x:c>
      <x:c r="D24" s="17" t="str">
        <x:v>Жаңа функция емес, сенімділікке жұмыс басым</x:v>
      </x:c>
      <x:c r="E24" s="17" t="str">
        <x:v>Оқу жобасының келісімі; айыппұл/кредит жоқ</x:v>
      </x:c>
      <x:c r="F24" s="17" t="str">
        <x:v>Апталық шолу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8" hidden="0" customHeight="1">
      <x:c r="A25" s="17" t="str">
        <x:v>Ескерту</x:v>
      </x:c>
      <x:c r="B25" s="17" t="str"/>
      <x:c r="C25" s="17" t="str">
        <x:v>SLO - ішкі мақсат; SLA - сыртқы міндеттеме. Бұл жобада ақылы SLA сатылмайды.</x:v>
      </x:c>
      <x:c r="D25" s="17" t="str"/>
      <x:c r="E25" s="17" t="str"/>
      <x:c r="F25" s="17" t="str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F1"/>
    <x:mergeCell ref="A11:F11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19.200000762939453" hidden="0" customHeight="1">
      <x:c r="A1" s="5" t="str">
        <x:v>GadgetStore - 12 айлық бюджет және unit-экономика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12" t="str">
        <x:v>Бап</x:v>
      </x:c>
      <x:c r="B3" s="19" t="d">
        <x:v>2026-11-01T00:00:00.000Z</x:v>
      </x:c>
      <x:c r="C3" s="19" t="d">
        <x:v>2026-12-01T00:00:00.000Z</x:v>
      </x:c>
      <x:c r="D3" s="19" t="d">
        <x:v>2027-01-01T00:00:00.000Z</x:v>
      </x:c>
      <x:c r="E3" s="19" t="d">
        <x:v>2027-02-01T00:00:00.000Z</x:v>
      </x:c>
      <x:c r="F3" s="19" t="d">
        <x:v>2027-03-01T00:00:00.000Z</x:v>
      </x:c>
      <x:c r="G3" s="19" t="d">
        <x:v>2027-04-01T00:00:00.000Z</x:v>
      </x:c>
      <x:c r="H3" s="19" t="d">
        <x:v>2027-05-01T00:00:00.000Z</x:v>
      </x:c>
      <x:c r="I3" s="19" t="d">
        <x:v>2027-06-01T00:00:00.000Z</x:v>
      </x:c>
      <x:c r="J3" s="19" t="d">
        <x:v>2027-07-01T00:00:00.000Z</x:v>
      </x:c>
      <x:c r="K3" s="19" t="d">
        <x:v>2027-08-01T00:00:00.000Z</x:v>
      </x:c>
      <x:c r="L3" s="19" t="d">
        <x:v>2027-09-01T00:00:00.000Z</x:v>
      </x:c>
      <x:c r="M3" s="19" t="d">
        <x:v>2027-10-01T00:00:00.000Z</x:v>
      </x:c>
      <x:c r="N3" s="12" t="str">
        <x:v>Жылдық</x:v>
      </x:c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15" t="str">
        <x:v>Тапсырыстар (жоспар)</x:v>
      </x:c>
      <x:c r="B5" s="28" t="n">
        <x:v>0</x:v>
      </x:c>
      <x:c r="C5" s="28" t="n">
        <x:v>0</x:v>
      </x:c>
      <x:c r="D5" s="28" t="n">
        <x:v>12</x:v>
      </x:c>
      <x:c r="E5" s="28" t="n">
        <x:v>18</x:v>
      </x:c>
      <x:c r="F5" s="28" t="n">
        <x:v>25</x:v>
      </x:c>
      <x:c r="G5" s="28" t="n">
        <x:v>31</x:v>
      </x:c>
      <x:c r="H5" s="28" t="n">
        <x:v>36</x:v>
      </x:c>
      <x:c r="I5" s="28" t="n">
        <x:v>42</x:v>
      </x:c>
      <x:c r="J5" s="28" t="n">
        <x:v>48</x:v>
      </x:c>
      <x:c r="K5" s="28" t="n">
        <x:v>54</x:v>
      </x:c>
      <x:c r="L5" s="28" t="n">
        <x:v>60</x:v>
      </x:c>
      <x:c r="M5" s="28" t="n">
        <x:v>65</x:v>
      </x:c>
      <x:c r="N5" s="28" t="n">
        <x:f>SUM(B5:M5)</x:f>
        <x:v>391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14" t="str">
        <x:v>Түсім</x:v>
      </x:c>
      <x:c r="B6" s="24" t="n">
        <x:f>B5*'Болжамдар'!$B$7</x:f>
        <x:v>0</x:v>
      </x:c>
      <x:c r="C6" s="24" t="n">
        <x:f>C5*'Болжамдар'!$B$7</x:f>
        <x:v>0</x:v>
      </x:c>
      <x:c r="D6" s="24" t="n">
        <x:f>D5*'Болжамдар'!$B$7</x:f>
        <x:v>540000</x:v>
      </x:c>
      <x:c r="E6" s="24" t="n">
        <x:f>E5*'Болжамдар'!$B$7</x:f>
        <x:v>810000</x:v>
      </x:c>
      <x:c r="F6" s="24" t="n">
        <x:f>F5*'Болжамдар'!$B$7</x:f>
        <x:v>1125000</x:v>
      </x:c>
      <x:c r="G6" s="24" t="n">
        <x:f>G5*'Болжамдар'!$B$7</x:f>
        <x:v>1395000</x:v>
      </x:c>
      <x:c r="H6" s="24" t="n">
        <x:f>H5*'Болжамдар'!$B$7</x:f>
        <x:v>1620000</x:v>
      </x:c>
      <x:c r="I6" s="24" t="n">
        <x:f>I5*'Болжамдар'!$B$7</x:f>
        <x:v>1890000</x:v>
      </x:c>
      <x:c r="J6" s="24" t="n">
        <x:f>J5*'Болжамдар'!$B$7</x:f>
        <x:v>2160000</x:v>
      </x:c>
      <x:c r="K6" s="24" t="n">
        <x:f>K5*'Болжамдар'!$B$7</x:f>
        <x:v>2430000</x:v>
      </x:c>
      <x:c r="L6" s="24" t="n">
        <x:f>L5*'Болжамдар'!$B$7</x:f>
        <x:v>2700000</x:v>
      </x:c>
      <x:c r="M6" s="24" t="n">
        <x:f>M5*'Болжамдар'!$B$7</x:f>
        <x:v>2925000</x:v>
      </x:c>
      <x:c r="N6" s="24" t="n">
        <x:f>SUM(B6:M6)</x:f>
        <x:v>17595000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4" t="str">
        <x:v>Тауардың өзіндік құны</x:v>
      </x:c>
      <x:c r="B7" s="24" t="n">
        <x:f>B5*'Болжамдар'!$B$8</x:f>
        <x:v>0</x:v>
      </x:c>
      <x:c r="C7" s="24" t="n">
        <x:f>C5*'Болжамдар'!$B$8</x:f>
        <x:v>0</x:v>
      </x:c>
      <x:c r="D7" s="24" t="n">
        <x:f>D5*'Болжамдар'!$B$8</x:f>
        <x:v>408000</x:v>
      </x:c>
      <x:c r="E7" s="24" t="n">
        <x:f>E5*'Болжамдар'!$B$8</x:f>
        <x:v>612000</x:v>
      </x:c>
      <x:c r="F7" s="24" t="n">
        <x:f>F5*'Болжамдар'!$B$8</x:f>
        <x:v>850000</x:v>
      </x:c>
      <x:c r="G7" s="24" t="n">
        <x:f>G5*'Болжамдар'!$B$8</x:f>
        <x:v>1054000</x:v>
      </x:c>
      <x:c r="H7" s="24" t="n">
        <x:f>H5*'Болжамдар'!$B$8</x:f>
        <x:v>1224000</x:v>
      </x:c>
      <x:c r="I7" s="24" t="n">
        <x:f>I5*'Болжамдар'!$B$8</x:f>
        <x:v>1428000</x:v>
      </x:c>
      <x:c r="J7" s="24" t="n">
        <x:f>J5*'Болжамдар'!$B$8</x:f>
        <x:v>1632000</x:v>
      </x:c>
      <x:c r="K7" s="24" t="n">
        <x:f>K5*'Болжамдар'!$B$8</x:f>
        <x:v>1836000</x:v>
      </x:c>
      <x:c r="L7" s="24" t="n">
        <x:f>L5*'Болжамдар'!$B$8</x:f>
        <x:v>2040000</x:v>
      </x:c>
      <x:c r="M7" s="24" t="n">
        <x:f>M5*'Болжамдар'!$B$8</x:f>
        <x:v>2210000</x:v>
      </x:c>
      <x:c r="N7" s="24" t="n">
        <x:f>SUM(B7:M7)</x:f>
        <x:v>13294000</x:v>
      </x:c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14" t="str">
        <x:v>Қаптама/жеткізу</x:v>
      </x:c>
      <x:c r="B8" s="24" t="n">
        <x:f>B5*'Болжамдар'!$B$9</x:f>
        <x:v>0</x:v>
      </x:c>
      <x:c r="C8" s="24" t="n">
        <x:f>C5*'Болжамдар'!$B$9</x:f>
        <x:v>0</x:v>
      </x:c>
      <x:c r="D8" s="24" t="n">
        <x:f>D5*'Болжамдар'!$B$9</x:f>
        <x:v>24000</x:v>
      </x:c>
      <x:c r="E8" s="24" t="n">
        <x:f>E5*'Болжамдар'!$B$9</x:f>
        <x:v>36000</x:v>
      </x:c>
      <x:c r="F8" s="24" t="n">
        <x:f>F5*'Болжамдар'!$B$9</x:f>
        <x:v>50000</x:v>
      </x:c>
      <x:c r="G8" s="24" t="n">
        <x:f>G5*'Болжамдар'!$B$9</x:f>
        <x:v>62000</x:v>
      </x:c>
      <x:c r="H8" s="24" t="n">
        <x:f>H5*'Болжамдар'!$B$9</x:f>
        <x:v>72000</x:v>
      </x:c>
      <x:c r="I8" s="24" t="n">
        <x:f>I5*'Болжамдар'!$B$9</x:f>
        <x:v>84000</x:v>
      </x:c>
      <x:c r="J8" s="24" t="n">
        <x:f>J5*'Болжамдар'!$B$9</x:f>
        <x:v>96000</x:v>
      </x:c>
      <x:c r="K8" s="24" t="n">
        <x:f>K5*'Болжамдар'!$B$9</x:f>
        <x:v>108000</x:v>
      </x:c>
      <x:c r="L8" s="24" t="n">
        <x:f>L5*'Болжамдар'!$B$9</x:f>
        <x:v>120000</x:v>
      </x:c>
      <x:c r="M8" s="24" t="n">
        <x:f>M5*'Болжамдар'!$B$9</x:f>
        <x:v>130000</x:v>
      </x:c>
      <x:c r="N8" s="24" t="n">
        <x:f>SUM(B8:M8)</x:f>
        <x:v>782000</x:v>
      </x:c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4" t="str">
        <x:v>CAC</x:v>
      </x:c>
      <x:c r="B9" s="24" t="n">
        <x:f>B5*'Болжамдар'!$B$10</x:f>
        <x:v>0</x:v>
      </x:c>
      <x:c r="C9" s="24" t="n">
        <x:f>C5*'Болжамдар'!$B$10</x:f>
        <x:v>0</x:v>
      </x:c>
      <x:c r="D9" s="24" t="n">
        <x:f>D5*'Болжамдар'!$B$10</x:f>
        <x:v>30000</x:v>
      </x:c>
      <x:c r="E9" s="24" t="n">
        <x:f>E5*'Болжамдар'!$B$10</x:f>
        <x:v>45000</x:v>
      </x:c>
      <x:c r="F9" s="24" t="n">
        <x:f>F5*'Болжамдар'!$B$10</x:f>
        <x:v>62500</x:v>
      </x:c>
      <x:c r="G9" s="24" t="n">
        <x:f>G5*'Болжамдар'!$B$10</x:f>
        <x:v>77500</x:v>
      </x:c>
      <x:c r="H9" s="24" t="n">
        <x:f>H5*'Болжамдар'!$B$10</x:f>
        <x:v>90000</x:v>
      </x:c>
      <x:c r="I9" s="24" t="n">
        <x:f>I5*'Болжамдар'!$B$10</x:f>
        <x:v>105000</x:v>
      </x:c>
      <x:c r="J9" s="24" t="n">
        <x:f>J5*'Болжамдар'!$B$10</x:f>
        <x:v>120000</x:v>
      </x:c>
      <x:c r="K9" s="24" t="n">
        <x:f>K5*'Болжамдар'!$B$10</x:f>
        <x:v>135000</x:v>
      </x:c>
      <x:c r="L9" s="24" t="n">
        <x:f>L5*'Болжамдар'!$B$10</x:f>
        <x:v>150000</x:v>
      </x:c>
      <x:c r="M9" s="24" t="n">
        <x:f>M5*'Болжамдар'!$B$10</x:f>
        <x:v>162500</x:v>
      </x:c>
      <x:c r="N9" s="24" t="n">
        <x:f>SUM(B9:M9)</x:f>
        <x:v>977500</x:v>
      </x:c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20" t="str">
        <x:v>Contribution margin</x:v>
      </x:c>
      <x:c r="B10" s="25" t="n">
        <x:f>B6-B7-B8-B9</x:f>
        <x:v>0</x:v>
      </x:c>
      <x:c r="C10" s="25" t="n">
        <x:f>C6-C7-C8-C9</x:f>
        <x:v>0</x:v>
      </x:c>
      <x:c r="D10" s="25" t="n">
        <x:f>D6-D7-D8-D9</x:f>
        <x:v>78000</x:v>
      </x:c>
      <x:c r="E10" s="25" t="n">
        <x:f>E6-E7-E8-E9</x:f>
        <x:v>117000</x:v>
      </x:c>
      <x:c r="F10" s="25" t="n">
        <x:f>F6-F7-F8-F9</x:f>
        <x:v>162500</x:v>
      </x:c>
      <x:c r="G10" s="25" t="n">
        <x:f>G6-G7-G8-G9</x:f>
        <x:v>201500</x:v>
      </x:c>
      <x:c r="H10" s="25" t="n">
        <x:f>H6-H7-H8-H9</x:f>
        <x:v>234000</x:v>
      </x:c>
      <x:c r="I10" s="25" t="n">
        <x:f>I6-I7-I8-I9</x:f>
        <x:v>273000</x:v>
      </x:c>
      <x:c r="J10" s="25" t="n">
        <x:f>J6-J7-J8-J9</x:f>
        <x:v>312000</x:v>
      </x:c>
      <x:c r="K10" s="25" t="n">
        <x:f>K6-K7-K8-K9</x:f>
        <x:v>351000</x:v>
      </x:c>
      <x:c r="L10" s="25" t="n">
        <x:f>L6-L7-L8-L9</x:f>
        <x:v>390000</x:v>
      </x:c>
      <x:c r="M10" s="25" t="n">
        <x:f>M6-M7-M8-M9</x:f>
        <x:v>422500</x:v>
      </x:c>
      <x:c r="N10" s="25" t="n">
        <x:f>SUM(B10:M10)</x:f>
        <x:v>2541500</x:v>
      </x:c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14" t="str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14" t="str">
        <x:v>Тұрақты операциялық шығын</x:v>
      </x:c>
      <x:c r="B12" s="24" t="n">
        <x:f>'Болжамдар'!$B$11</x:f>
        <x:v>220000</x:v>
      </x:c>
      <x:c r="C12" s="24" t="n">
        <x:f>'Болжамдар'!$B$11</x:f>
        <x:v>220000</x:v>
      </x:c>
      <x:c r="D12" s="24" t="n">
        <x:f>'Болжамдар'!$B$11</x:f>
        <x:v>220000</x:v>
      </x:c>
      <x:c r="E12" s="24" t="n">
        <x:f>'Болжамдар'!$B$11</x:f>
        <x:v>220000</x:v>
      </x:c>
      <x:c r="F12" s="24" t="n">
        <x:f>'Болжамдар'!$B$11</x:f>
        <x:v>220000</x:v>
      </x:c>
      <x:c r="G12" s="24" t="n">
        <x:f>'Болжамдар'!$B$11</x:f>
        <x:v>220000</x:v>
      </x:c>
      <x:c r="H12" s="24" t="n">
        <x:f>'Болжамдар'!$B$11</x:f>
        <x:v>220000</x:v>
      </x:c>
      <x:c r="I12" s="24" t="n">
        <x:f>'Болжамдар'!$B$11</x:f>
        <x:v>220000</x:v>
      </x:c>
      <x:c r="J12" s="24" t="n">
        <x:f>'Болжамдар'!$B$11</x:f>
        <x:v>220000</x:v>
      </x:c>
      <x:c r="K12" s="24" t="n">
        <x:f>'Болжамдар'!$B$11</x:f>
        <x:v>220000</x:v>
      </x:c>
      <x:c r="L12" s="24" t="n">
        <x:f>'Болжамдар'!$B$11</x:f>
        <x:v>220000</x:v>
      </x:c>
      <x:c r="M12" s="24" t="n">
        <x:f>'Болжамдар'!$B$11</x:f>
        <x:v>220000</x:v>
      </x:c>
      <x:c r="N12" s="24" t="n">
        <x:f>SUM(B12:M12)</x:f>
        <x:v>2640000</x:v>
      </x:c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14" t="str">
        <x:v>Іске қосу және әзірлеу</x:v>
      </x:c>
      <x:c r="B13" s="24" t="n">
        <x:v>600000</x:v>
      </x:c>
      <x:c r="C13" s="24" t="n">
        <x:v>0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  <x:c r="J13" s="24" t="n">
        <x:v>0</x:v>
      </x:c>
      <x:c r="K13" s="24" t="n">
        <x:v>0</x:v>
      </x:c>
      <x:c r="L13" s="24" t="n">
        <x:v>0</x:v>
      </x:c>
      <x:c r="M13" s="24" t="n">
        <x:v>0</x:v>
      </x:c>
      <x:c r="N13" s="24" t="n">
        <x:f>SUM(B13:M13)</x:f>
        <x:v>600000</x:v>
      </x:c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4" t="str">
        <x:v>Қауіпсіздік/қалпына келтіру</x:v>
      </x:c>
      <x:c r="B14" s="24" t="n">
        <x:v>80000</x:v>
      </x:c>
      <x:c r="C14" s="24" t="n">
        <x:v>0</x:v>
      </x:c>
      <x:c r="D14" s="24" t="n">
        <x:v>0</x:v>
      </x:c>
      <x:c r="E14" s="24" t="n">
        <x:v>20000</x:v>
      </x:c>
      <x:c r="F14" s="24" t="n">
        <x:v>0</x:v>
      </x:c>
      <x:c r="G14" s="24" t="n">
        <x:v>0</x:v>
      </x:c>
      <x:c r="H14" s="24" t="n">
        <x:v>0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4" t="n">
        <x:v>0</x:v>
      </x:c>
      <x:c r="N14" s="24" t="n">
        <x:f>SUM(B14:M14)</x:f>
        <x:v>100000</x:v>
      </x:c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4" t="str">
        <x:v>Маркетинг кампаниясы</x:v>
      </x:c>
      <x:c r="B15" s="24" t="n">
        <x:v>0</x:v>
      </x:c>
      <x:c r="C15" s="24" t="n">
        <x:v>0</x:v>
      </x:c>
      <x:c r="D15" s="24" t="n">
        <x:v>30000</x:v>
      </x:c>
      <x:c r="E15" s="24" t="n">
        <x:v>40000</x:v>
      </x:c>
      <x:c r="F15" s="24" t="n">
        <x:v>50000</x:v>
      </x:c>
      <x:c r="G15" s="24" t="n">
        <x:v>50000</x:v>
      </x:c>
      <x:c r="H15" s="24" t="n">
        <x:v>60000</x:v>
      </x:c>
      <x:c r="I15" s="24" t="n">
        <x:v>60000</x:v>
      </x:c>
      <x:c r="J15" s="24" t="n">
        <x:v>70000</x:v>
      </x:c>
      <x:c r="K15" s="24" t="n">
        <x:v>70000</x:v>
      </x:c>
      <x:c r="L15" s="24" t="n">
        <x:v>70000</x:v>
      </x:c>
      <x:c r="M15" s="24" t="n">
        <x:v>70000</x:v>
      </x:c>
      <x:c r="N15" s="24" t="n">
        <x:f>SUM(B15:M15)</x:f>
        <x:v>570000</x:v>
      </x:c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4" t="str">
        <x:v>Резерв (10%)</x:v>
      </x:c>
      <x:c r="B16" s="24" t="n">
        <x:f>SUM(B12:B15)*10%</x:f>
        <x:v>90000</x:v>
      </x:c>
      <x:c r="C16" s="24" t="n">
        <x:f>SUM(C12:C15)*10%</x:f>
        <x:v>22000</x:v>
      </x:c>
      <x:c r="D16" s="24" t="n">
        <x:f>SUM(D12:D15)*10%</x:f>
        <x:v>25000</x:v>
      </x:c>
      <x:c r="E16" s="24" t="n">
        <x:f>SUM(E12:E15)*10%</x:f>
        <x:v>28000</x:v>
      </x:c>
      <x:c r="F16" s="24" t="n">
        <x:f>SUM(F12:F15)*10%</x:f>
        <x:v>27000</x:v>
      </x:c>
      <x:c r="G16" s="24" t="n">
        <x:f>SUM(G12:G15)*10%</x:f>
        <x:v>27000</x:v>
      </x:c>
      <x:c r="H16" s="24" t="n">
        <x:f>SUM(H12:H15)*10%</x:f>
        <x:v>28000</x:v>
      </x:c>
      <x:c r="I16" s="24" t="n">
        <x:f>SUM(I12:I15)*10%</x:f>
        <x:v>28000</x:v>
      </x:c>
      <x:c r="J16" s="24" t="n">
        <x:f>SUM(J12:J15)*10%</x:f>
        <x:v>29000</x:v>
      </x:c>
      <x:c r="K16" s="24" t="n">
        <x:f>SUM(K12:K15)*10%</x:f>
        <x:v>29000</x:v>
      </x:c>
      <x:c r="L16" s="24" t="n">
        <x:f>SUM(L12:L15)*10%</x:f>
        <x:v>29000</x:v>
      </x:c>
      <x:c r="M16" s="24" t="n">
        <x:f>SUM(M12:M15)*10%</x:f>
        <x:v>29000</x:v>
      </x:c>
      <x:c r="N16" s="24" t="n">
        <x:f>SUM(B16:M16)</x:f>
        <x:v>391000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22" t="str">
        <x:v>Барлық шығын</x:v>
      </x:c>
      <x:c r="B17" s="26" t="n">
        <x:f>SUM(B7:B9)+SUM(B12:B16)</x:f>
        <x:v>990000</x:v>
      </x:c>
      <x:c r="C17" s="26" t="n">
        <x:f>SUM(C7:C9)+SUM(C12:C16)</x:f>
        <x:v>242000</x:v>
      </x:c>
      <x:c r="D17" s="26" t="n">
        <x:f>SUM(D7:D9)+SUM(D12:D16)</x:f>
        <x:v>737000</x:v>
      </x:c>
      <x:c r="E17" s="26" t="n">
        <x:f>SUM(E7:E9)+SUM(E12:E16)</x:f>
        <x:v>1001000</x:v>
      </x:c>
      <x:c r="F17" s="26" t="n">
        <x:f>SUM(F7:F9)+SUM(F12:F16)</x:f>
        <x:v>1259500</x:v>
      </x:c>
      <x:c r="G17" s="26" t="n">
        <x:f>SUM(G7:G9)+SUM(G12:G16)</x:f>
        <x:v>1490500</x:v>
      </x:c>
      <x:c r="H17" s="26" t="n">
        <x:f>SUM(H7:H9)+SUM(H12:H16)</x:f>
        <x:v>1694000</x:v>
      </x:c>
      <x:c r="I17" s="26" t="n">
        <x:f>SUM(I7:I9)+SUM(I12:I16)</x:f>
        <x:v>1925000</x:v>
      </x:c>
      <x:c r="J17" s="26" t="n">
        <x:f>SUM(J7:J9)+SUM(J12:J16)</x:f>
        <x:v>2167000</x:v>
      </x:c>
      <x:c r="K17" s="26" t="n">
        <x:f>SUM(K7:K9)+SUM(K12:K16)</x:f>
        <x:v>2398000</x:v>
      </x:c>
      <x:c r="L17" s="26" t="n">
        <x:f>SUM(L7:L9)+SUM(L12:L16)</x:f>
        <x:v>2629000</x:v>
      </x:c>
      <x:c r="M17" s="26" t="n">
        <x:f>SUM(M7:M9)+SUM(M12:M16)</x:f>
        <x:v>2821500</x:v>
      </x:c>
      <x:c r="N17" s="26" t="n">
        <x:f>SUM(B17:M17)</x:f>
        <x:v>19354500</x:v>
      </x:c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22" t="str">
        <x:v>Операциялық нәтиже</x:v>
      </x:c>
      <x:c r="B18" s="26" t="n">
        <x:f>B6-B17</x:f>
        <x:v>-990000</x:v>
      </x:c>
      <x:c r="C18" s="26" t="n">
        <x:f>C6-C17</x:f>
        <x:v>-242000</x:v>
      </x:c>
      <x:c r="D18" s="26" t="n">
        <x:f>D6-D17</x:f>
        <x:v>-197000</x:v>
      </x:c>
      <x:c r="E18" s="26" t="n">
        <x:f>E6-E17</x:f>
        <x:v>-191000</x:v>
      </x:c>
      <x:c r="F18" s="26" t="n">
        <x:f>F6-F17</x:f>
        <x:v>-134500</x:v>
      </x:c>
      <x:c r="G18" s="26" t="n">
        <x:f>G6-G17</x:f>
        <x:v>-95500</x:v>
      </x:c>
      <x:c r="H18" s="26" t="n">
        <x:f>H6-H17</x:f>
        <x:v>-74000</x:v>
      </x:c>
      <x:c r="I18" s="26" t="n">
        <x:f>I6-I17</x:f>
        <x:v>-35000</x:v>
      </x:c>
      <x:c r="J18" s="26" t="n">
        <x:f>J6-J17</x:f>
        <x:v>-7000</x:v>
      </x:c>
      <x:c r="K18" s="26" t="n">
        <x:f>K6-K17</x:f>
        <x:v>32000</x:v>
      </x:c>
      <x:c r="L18" s="26" t="n">
        <x:f>L6-L17</x:f>
        <x:v>71000</x:v>
      </x:c>
      <x:c r="M18" s="26" t="n">
        <x:f>M6-M17</x:f>
        <x:v>103500</x:v>
      </x:c>
      <x:c r="N18" s="26" t="n">
        <x:f>SUM(B18:M18)</x:f>
        <x:v>-1759500</x:v>
      </x:c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4" t="str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23" t="str">
        <x:v>Бір белсенді пайдаланушыға шығын</x:v>
      </x:c>
      <x:c r="B20" s="27" t="str">
        <x:f>IF(B5=0,"n.a.",B17/B5)</x:f>
        <x:v>n.a.</x:v>
      </x:c>
      <x:c r="C20" s="27" t="str">
        <x:f>IF(C5=0,"n.a.",C17/C5)</x:f>
        <x:v>n.a.</x:v>
      </x:c>
      <x:c r="D20" s="27" t="n">
        <x:f>IF(D5=0,"n.a.",D17/D5)</x:f>
        <x:v>61416.666666666664</x:v>
      </x:c>
      <x:c r="E20" s="27" t="n">
        <x:f>IF(E5=0,"n.a.",E17/E5)</x:f>
        <x:v>55611.11111111111</x:v>
      </x:c>
      <x:c r="F20" s="27" t="n">
        <x:f>IF(F5=0,"n.a.",F17/F5)</x:f>
        <x:v>50380</x:v>
      </x:c>
      <x:c r="G20" s="27" t="n">
        <x:f>IF(G5=0,"n.a.",G17/G5)</x:f>
        <x:v>48080.645161290326</x:v>
      </x:c>
      <x:c r="H20" s="27" t="n">
        <x:f>IF(H5=0,"n.a.",H17/H5)</x:f>
        <x:v>47055.555555555555</x:v>
      </x:c>
      <x:c r="I20" s="27" t="n">
        <x:f>IF(I5=0,"n.a.",I17/I5)</x:f>
        <x:v>45833.333333333336</x:v>
      </x:c>
      <x:c r="J20" s="27" t="n">
        <x:f>IF(J5=0,"n.a.",J17/J5)</x:f>
        <x:v>45145.833333333336</x:v>
      </x:c>
      <x:c r="K20" s="27" t="n">
        <x:f>IF(K5=0,"n.a.",K17/K5)</x:f>
        <x:v>44407.40740740741</x:v>
      </x:c>
      <x:c r="L20" s="27" t="n">
        <x:f>IF(L5=0,"n.a.",L17/L5)</x:f>
        <x:v>43816.666666666664</x:v>
      </x:c>
      <x:c r="M20" s="27" t="n">
        <x:f>IF(M5=0,"n.a.",M17/M5)</x:f>
        <x:v>43407.692307692305</x:v>
      </x:c>
      <x:c r="N20" s="27" t="n">
        <x:f>SUM(B20:M20)</x:f>
        <x:v>485154.9115430567</x:v>
      </x:c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23" t="str">
        <x:v>Break-even тапсырыстар</x:v>
      </x:c>
      <x:c r="B21" s="29" t="n">
        <x:f>INT(B12/('Болжамдар'!$B$7-'Болжамдар'!$B$8-'Болжамдар'!$B$9-'Болжамдар'!$B$10)+0.999)</x:f>
        <x:v>34</x:v>
      </x:c>
      <x:c r="C21" s="29" t="n">
        <x:f>INT(C12/('Болжамдар'!$B$7-'Болжамдар'!$B$8-'Болжамдар'!$B$9-'Болжамдар'!$B$10)+0.999)</x:f>
        <x:v>34</x:v>
      </x:c>
      <x:c r="D21" s="29" t="n">
        <x:f>INT(D12/('Болжамдар'!$B$7-'Болжамдар'!$B$8-'Болжамдар'!$B$9-'Болжамдар'!$B$10)+0.999)</x:f>
        <x:v>34</x:v>
      </x:c>
      <x:c r="E21" s="29" t="n">
        <x:f>INT(E12/('Болжамдар'!$B$7-'Болжамдар'!$B$8-'Болжамдар'!$B$9-'Болжамдар'!$B$10)+0.999)</x:f>
        <x:v>34</x:v>
      </x:c>
      <x:c r="F21" s="29" t="n">
        <x:f>INT(F12/('Болжамдар'!$B$7-'Болжамдар'!$B$8-'Болжамдар'!$B$9-'Болжамдар'!$B$10)+0.999)</x:f>
        <x:v>34</x:v>
      </x:c>
      <x:c r="G21" s="29" t="n">
        <x:f>INT(G12/('Болжамдар'!$B$7-'Болжамдар'!$B$8-'Болжамдар'!$B$9-'Болжамдар'!$B$10)+0.999)</x:f>
        <x:v>34</x:v>
      </x:c>
      <x:c r="H21" s="29" t="n">
        <x:f>INT(H12/('Болжамдар'!$B$7-'Болжамдар'!$B$8-'Болжамдар'!$B$9-'Болжамдар'!$B$10)+0.999)</x:f>
        <x:v>34</x:v>
      </x:c>
      <x:c r="I21" s="29" t="n">
        <x:f>INT(I12/('Болжамдар'!$B$7-'Болжамдар'!$B$8-'Болжамдар'!$B$9-'Болжамдар'!$B$10)+0.999)</x:f>
        <x:v>34</x:v>
      </x:c>
      <x:c r="J21" s="29" t="n">
        <x:f>INT(J12/('Болжамдар'!$B$7-'Болжамдар'!$B$8-'Болжамдар'!$B$9-'Болжамдар'!$B$10)+0.999)</x:f>
        <x:v>34</x:v>
      </x:c>
      <x:c r="K21" s="29" t="n">
        <x:f>INT(K12/('Болжамдар'!$B$7-'Болжамдар'!$B$8-'Болжамдар'!$B$9-'Болжамдар'!$B$10)+0.999)</x:f>
        <x:v>34</x:v>
      </x:c>
      <x:c r="L21" s="29" t="n">
        <x:f>INT(L12/('Болжамдар'!$B$7-'Болжамдар'!$B$8-'Болжамдар'!$B$9-'Болжамдар'!$B$10)+0.999)</x:f>
        <x:v>34</x:v>
      </x:c>
      <x:c r="M21" s="29" t="n">
        <x:f>INT(M12/('Болжамдар'!$B$7-'Болжамдар'!$B$8-'Болжамдар'!$B$9-'Болжамдар'!$B$10)+0.999)</x:f>
        <x:v>34</x:v>
      </x:c>
      <x:c r="N21" s="29" t="n">
        <x:f>INT(AVERAGE(B12:M12)/('Болжамдар'!$B$7-'Болжамдар'!$B$8-'Болжамдар'!$B$9-'Болжамдар'!$B$10)+0.999)</x:f>
        <x:v>34</x:v>
      </x:c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72" hidden="0" customHeight="1">
      <x:c r="A23" s="31" t="str">
        <x:v>Негізгі формула</x:v>
      </x:c>
      <x:c r="B23" s="31" t="str">
        <x:v>Contribution = орташа чек - тауар өзіндік құны - қаптама/жеткізу - CAC</x:v>
      </x:c>
      <x:c r="C23" s="31" t="str"/>
      <x:c r="D23" s="31" t="str"/>
      <x:c r="E23" s="31" t="str"/>
      <x:c r="F23" s="31" t="str"/>
      <x:c r="G23" s="31" t="str"/>
      <x:c r="H23" s="31" t="str"/>
      <x:c r="I23" s="31" t="str"/>
      <x:c r="J23" s="31" t="str"/>
      <x:c r="K23" s="31" t="str"/>
      <x:c r="L23" s="31" t="str"/>
      <x:c r="M23" s="31" t="str"/>
      <x:c r="N23" s="31" t="str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08" hidden="0" customHeight="1">
      <x:c r="A24" s="31" t="str">
        <x:v>Break-even</x:v>
      </x:c>
      <x:c r="B24" s="31" t="str">
        <x:v>Тұрақты шығын / contribution. Нәтиже ай сайынғы жоспарлық тапсырыс санына байланыстырылған.</x:v>
      </x:c>
      <x:c r="C24" s="31" t="str"/>
      <x:c r="D24" s="31" t="str"/>
      <x:c r="E24" s="31" t="str"/>
      <x:c r="F24" s="31" t="str"/>
      <x:c r="G24" s="31" t="str"/>
      <x:c r="H24" s="31" t="str"/>
      <x:c r="I24" s="31" t="str"/>
      <x:c r="J24" s="31" t="str"/>
      <x:c r="K24" s="31" t="str"/>
      <x:c r="L24" s="31" t="str"/>
      <x:c r="M24" s="31" t="str"/>
      <x:c r="N24" s="31" t="str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84" hidden="0" customHeight="1">
      <x:c r="A25" s="31" t="str">
        <x:v>Шектеу</x:v>
      </x:c>
      <x:c r="B25" s="31" t="str">
        <x:v>Каталог демо, сатылым тарихы жоқ. Барлық көлем, CAC және маржа жоспарлық болжам.</x:v>
      </x:c>
      <x:c r="C25" s="31" t="str"/>
      <x:c r="D25" s="31" t="str"/>
      <x:c r="E25" s="31" t="str"/>
      <x:c r="F25" s="31" t="str"/>
      <x:c r="G25" s="31" t="str"/>
      <x:c r="H25" s="31" t="str"/>
      <x:c r="I25" s="31" t="str"/>
      <x:c r="J25" s="31" t="str"/>
      <x:c r="K25" s="31" t="str"/>
      <x:c r="L25" s="31" t="str"/>
      <x:c r="M25" s="31" t="str"/>
      <x:c r="N25" s="31" t="str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22" hidden="0" customWidth="1"/>
    <x:col min="6" max="6" width="40" hidden="0" customWidth="1"/>
  </x:cols>
  <x:sheetData>
    <x:row r="1" ht="19.200000762939453" hidden="0" customHeight="1">
      <x:c r="A1" s="5" t="str">
        <x:v>Орналастыру нұсқалары: 12 айлық TCO салыстыру</x:v>
      </x:c>
      <x:c r="B1" s="5"/>
      <x:c r="C1" s="5"/>
      <x:c r="D1" s="5"/>
      <x:c r="E1" s="5"/>
      <x:c r="F1" s="5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12" t="str">
        <x:v>Нұсқа</x:v>
      </x:c>
      <x:c r="B3" s="12" t="str">
        <x:v>Айлық есеп</x:v>
      </x:c>
      <x:c r="C3" s="12" t="str">
        <x:v>Айлық TCO</x:v>
      </x:c>
      <x:c r="D3" s="12" t="str">
        <x:v>12 айлық TCO</x:v>
      </x:c>
      <x:c r="E3" s="12" t="str">
        <x:v>SLO-ға сәйкестік</x:v>
      </x:c>
      <x:c r="F3" s="12" t="str">
        <x:v>Артықшылық / шектеу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24" hidden="0" customHeight="1">
      <x:c r="A4" s="14" t="str">
        <x:v>A. Жария бұлт: AWS Lightsail</x:v>
      </x:c>
      <x:c r="B4" s="14" t="str">
        <x:v>7 USD × 500</x:v>
      </x:c>
      <x:c r="C4" s="24" t="n">
        <x:f>'Болжамдар'!$B$16*'Болжамдар'!$B$5</x:f>
        <x:v>3500</x:v>
      </x:c>
      <x:c r="D4" s="24" t="n">
        <x:f>C4*12</x:f>
        <x:v>42000</x:v>
      </x:c>
      <x:c r="E4" s="14" t="str">
        <x:v>SLO-ға шартты</x:v>
      </x:c>
      <x:c r="F4" s="17" t="str">
        <x:v>Жылдам бастау; region/traffic/storage және салық бөлек есептеледі.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4" hidden="0" customHeight="1">
      <x:c r="A5" s="14" t="str">
        <x:v>B. Меншікті инфрақұрылым</x:v>
      </x:c>
      <x:c r="B5" s="14" t="str">
        <x:v>250 000/36 + 35 000</x:v>
      </x:c>
      <x:c r="C5" s="24" t="n">
        <x:f>'Болжамдар'!$B$13/'Болжамдар'!$B$14+'Болжамдар'!$B$15</x:f>
        <x:v>41944.444444444445</x:v>
      </x:c>
      <x:c r="D5" s="24" t="n">
        <x:f>C5*12</x:f>
        <x:v>503333.3333333334</x:v>
      </x:c>
      <x:c r="E5" s="14" t="str">
        <x:v>SLO-ға шартты</x:v>
      </x:c>
      <x:c r="F5" s="17" t="str">
        <x:v>Жабдыққа физикалық қолжетімділік пен электр/интернет тәуекелі бар.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4" hidden="0" customHeight="1">
      <x:c r="A6" s="14" t="str">
        <x:v>C. Жалға алынған сервер + open stack</x:v>
      </x:c>
      <x:c r="B6" s="14" t="str">
        <x:v>4.35 EUR × 550 + 3 600</x:v>
      </x:c>
      <x:c r="C6" s="24" t="n">
        <x:f>'Болжамдар'!$B$17*'Болжамдар'!$B$6+'Болжамдар'!$B$18</x:f>
        <x:v>5992.5</x:v>
      </x:c>
      <x:c r="D6" s="24" t="n">
        <x:f>C6*12</x:f>
        <x:v>71910</x:v>
      </x:c>
      <x:c r="E6" s="14" t="str">
        <x:v>SLO-ға шартты</x:v>
      </x:c>
      <x:c r="F6" s="17" t="str">
        <x:v>Төмен баға; провайдер аймағы мен деректер юрисдикциясын келісімде тексеру керек.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24" hidden="0" customHeight="1">
      <x:c r="A8" s="12" t="str">
        <x:v>SLO байланысы</x:v>
      </x:c>
      <x:c r="B8" s="12" t="str">
        <x:v>Мақсат</x:v>
      </x:c>
      <x:c r="C8" s="12" t="str">
        <x:v>Нұсқаға қойылатын шарт</x:v>
      </x:c>
      <x:c r="D8" s="12" t="str"/>
      <x:c r="E8" s="12" t="str"/>
      <x:c r="F8" s="12" t="str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8" hidden="0" customHeight="1">
      <x:c r="A9" s="14" t="str">
        <x:v>Қолжетімділік</x:v>
      </x:c>
      <x:c r="B9" s="14" t="str">
        <x:v>Айына 99.0%</x:v>
      </x:c>
      <x:c r="C9" s="17" t="str">
        <x:v>Health check, restart, backup және сыртқы бақылау іске қосылса ғана.</x:v>
      </x:c>
      <x:c r="D9" s="14" t="str"/>
      <x:c r="E9" s="14" t="str"/>
      <x:c r="F9" s="14" t="str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36" hidden="0" customHeight="1">
      <x:c r="A10" s="14" t="str">
        <x:v>Тапсырыс API latency</x:v>
      </x:c>
      <x:c r="B10" s="14" t="str">
        <x:v>p95 &lt; 1 сек</x:v>
      </x:c>
      <x:c r="C10" s="17" t="str">
        <x:v>Жергілікті жүктеме тестінде және өнімде өлшенеді.</x:v>
      </x:c>
      <x:c r="D10" s="14" t="str"/>
      <x:c r="E10" s="14" t="str"/>
      <x:c r="F10" s="14" t="str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36" hidden="0" customHeight="1">
      <x:c r="A11" s="14" t="str">
        <x:v>RPO</x:v>
      </x:c>
      <x:c r="B11" s="14" t="str">
        <x:v>≤ 24 сағат</x:v>
      </x:c>
      <x:c r="C11" s="17" t="str">
        <x:v>Күнделікті қорғалған backup және restore журналы.</x:v>
      </x:c>
      <x:c r="D11" s="14" t="str"/>
      <x:c r="E11" s="14" t="str"/>
      <x:c r="F11" s="14" t="str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36" hidden="0" customHeight="1">
      <x:c r="A12" s="14" t="str">
        <x:v>RTO</x:v>
      </x:c>
      <x:c r="B12" s="14" t="str">
        <x:v>≤ 30 минут</x:v>
      </x:c>
      <x:c r="C12" s="17" t="str">
        <x:v>Оқшау ортада restore өлшеніп, хаттамаға жазылады.</x:v>
      </x:c>
      <x:c r="D12" s="14" t="str"/>
      <x:c r="E12" s="14" t="str"/>
      <x:c r="F12" s="14" t="str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84" hidden="0" customHeight="1">
      <x:c r="A13" s="14" t="str">
        <x:v>Қорытынды</x:v>
      </x:c>
      <x:c r="B13" s="14" t="str">
        <x:v>Оқу пилоты</x:v>
      </x:c>
      <x:c r="C13" s="17" t="str">
        <x:v>C нұсқасы ең төмен есептік TCO; нақты release алдында деректердің орналасуы, шарт және өлшенген SLO тексеріледі.</x:v>
      </x:c>
      <x:c r="D13" s="14" t="str"/>
      <x:c r="E13" s="14" t="str"/>
      <x:c r="F13" s="14" t="str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18" hidden="0" customWidth="1"/>
    <x:col min="4" max="4" width="48" hidden="0" customWidth="1"/>
  </x:cols>
  <x:sheetData>
    <x:row r="1" ht="19.200000762939453" hidden="0" customHeight="1">
      <x:c r="A1" s="5" t="str">
        <x:v>GadgetStore: 8-апта - есептің болжамдары</x:v>
      </x:c>
      <x:c r="B1" s="5"/>
      <x:c r="C1" s="5"/>
      <x:c r="D1" s="5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15" hidden="0" customHeight="1">
      <x:c r="A3" s="12" t="str">
        <x:v>Драйвер</x:v>
      </x:c>
      <x:c r="B3" s="12" t="str">
        <x:v>Мән</x:v>
      </x:c>
      <x:c r="C3" s="12" t="str">
        <x:v>Бірлік</x:v>
      </x:c>
      <x:c r="D3" s="12" t="str">
        <x:v>Негіздеме / қайнар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15" hidden="0" customHeight="1">
      <x:c r="A4" s="14" t="str">
        <x:v>Есеп валютасы</x:v>
      </x:c>
      <x:c r="B4" s="15" t="n">
        <x:v>1</x:v>
      </x:c>
      <x:c r="C4" s="14" t="str">
        <x:v>KZT</x:v>
      </x:c>
      <x:c r="D4" s="14" t="str">
        <x:v>Барлық модель KZT-де жүргізіледі.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15" hidden="0" customHeight="1">
      <x:c r="A5" s="14" t="str">
        <x:v>USD/KZT</x:v>
      </x:c>
      <x:c r="B5" s="15" t="n">
        <x:v>500</x:v>
      </x:c>
      <x:c r="C5" s="14" t="str">
        <x:v>KZT/USD</x:v>
      </x:c>
      <x:c r="D5" s="14" t="str">
        <x:v>Сезімталдыққа арналған болжам, 22.10.2026. Нақты төлем күні қайта тексеріледі.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15" hidden="0" customHeight="1">
      <x:c r="A6" s="14" t="str">
        <x:v>EUR/KZT</x:v>
      </x:c>
      <x:c r="B6" s="15" t="n">
        <x:v>550</x:v>
      </x:c>
      <x:c r="C6" s="14" t="str">
        <x:v>KZT/EUR</x:v>
      </x:c>
      <x:c r="D6" s="14" t="str">
        <x:v>Сезімталдыққа арналған болжам, 22.10.2026. Нақты төлем күні қайта тексеріледі.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15" hidden="0" customHeight="1">
      <x:c r="A7" s="14" t="str">
        <x:v>Орташа чек</x:v>
      </x:c>
      <x:c r="B7" s="16" t="n">
        <x:v>45000</x:v>
      </x:c>
      <x:c r="C7" s="14" t="str">
        <x:v>KZT/тапсырыс</x:v>
      </x:c>
      <x:c r="D7" s="14" t="str">
        <x:v>Демо каталогтағы арзанырақ аксессуарлар мен қымбат құрылғылар арасына қойылған жоспарлық чек; нақты сатылым тарихы жоқ.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15" hidden="0" customHeight="1">
      <x:c r="A8" s="14" t="str">
        <x:v>Тауардың орташа өзіндік құны</x:v>
      </x:c>
      <x:c r="B8" s="16" t="n">
        <x:v>34000</x:v>
      </x:c>
      <x:c r="C8" s="14" t="str">
        <x:v>KZT/тапсырыс</x:v>
      </x:c>
      <x:c r="D8" s="14" t="str">
        <x:v>Unit-экономикаға арналған болжам; жеткізуші келісімі жоқ.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15" hidden="0" customHeight="1">
      <x:c r="A9" s="14" t="str">
        <x:v>Қаптама және жеткізу субсидиясы</x:v>
      </x:c>
      <x:c r="B9" s="16" t="n">
        <x:v>2000</x:v>
      </x:c>
      <x:c r="C9" s="14" t="str">
        <x:v>KZT/тапсырыс</x:v>
      </x:c>
      <x:c r="D9" s="14" t="str">
        <x:v>Жоспарлық айнымалы шығын.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15" hidden="0" customHeight="1">
      <x:c r="A10" s="14" t="str">
        <x:v>Тапсырысқа маркетинг (CAC)</x:v>
      </x:c>
      <x:c r="B10" s="16" t="n">
        <x:v>2500</x:v>
      </x:c>
      <x:c r="C10" s="14" t="str">
        <x:v>KZT/тапсырыс</x:v>
      </x:c>
      <x:c r="D10" s="14" t="str">
        <x:v>Жоспарлық айнымалы шығын; нақты арна іске қосылмаған.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15" hidden="0" customHeight="1">
      <x:c r="A11" s="14" t="str">
        <x:v>Айлық тұрақты операциялық шығын</x:v>
      </x:c>
      <x:c r="B11" s="16" t="n">
        <x:v>220000</x:v>
      </x:c>
      <x:c r="C11" s="14" t="str">
        <x:v>KZT/ай</x:v>
      </x:c>
      <x:c r="D11" s="14" t="str">
        <x:v>Қолдау, сервер, backup және шағын әкімшілік еңбекке арналған жоспар.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15" hidden="0" customHeight="1">
      <x:c r="A12" s="14" t="str">
        <x:v>Инженер сағатының ішкі бағасы</x:v>
      </x:c>
      <x:c r="B12" s="16" t="n">
        <x:v>2500</x:v>
      </x:c>
      <x:c r="C12" s="14" t="str">
        <x:v>KZT/сағат</x:v>
      </x:c>
      <x:c r="D12" s="14" t="str">
        <x:v>Оқу жобасының еңбек құнын көрсетуге арналған болжам; төленген жалақы емес.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15" hidden="0" customHeight="1">
      <x:c r="A13" s="14" t="str">
        <x:v>Меншікті сервер жабдығы</x:v>
      </x:c>
      <x:c r="B13" s="16" t="n">
        <x:v>250000</x:v>
      </x:c>
      <x:c r="C13" s="14" t="str">
        <x:v>KZT</x:v>
      </x:c>
      <x:c r="D13" s="14" t="str">
        <x:v>Бір реттік сценарийлік CAPEX, коммерциялық ұсыныс емес.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15" hidden="0" customHeight="1">
      <x:c r="A14" s="14" t="str">
        <x:v>Меншікті сервердің амортизациясы</x:v>
      </x:c>
      <x:c r="B14" s="16" t="n">
        <x:v>36</x:v>
      </x:c>
      <x:c r="C14" s="14" t="str">
        <x:v>ай</x:v>
      </x:c>
      <x:c r="D14" s="14" t="str">
        <x:v>Салыстыру үшін 3 жылға тең бөлінді.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15" hidden="0" customHeight="1">
      <x:c r="A15" s="14" t="str">
        <x:v>Меншікті сервер: электр/интернет</x:v>
      </x:c>
      <x:c r="B15" s="15" t="n">
        <x:v>35000</x:v>
      </x:c>
      <x:c r="C15" s="14" t="str">
        <x:v>KZT/ай</x:v>
      </x:c>
      <x:c r="D15" s="14" t="str">
        <x:v>Сценарийлік операциялық шығын.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15" hidden="0" customHeight="1">
      <x:c r="A16" s="14" t="str">
        <x:v>AWS Lightsail</x:v>
      </x:c>
      <x:c r="B16" s="15" t="n">
        <x:v>7</x:v>
      </x:c>
      <x:c r="C16" s="14" t="str">
        <x:v>USD/ай</x:v>
      </x:c>
      <x:c r="D16" s="14" t="str">
        <x:v>Ресми жария Linux bundle беті. Нақты region, storage, traffic пен салық есепке кірмейді.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15" hidden="0" customHeight="1">
      <x:c r="A17" s="14" t="str">
        <x:v>Hetzner CX22</x:v>
      </x:c>
      <x:c r="B17" s="15" t="n">
        <x:v>4.35</x:v>
      </x:c>
      <x:c r="C17" s="14" t="str">
        <x:v>EUR/ай</x:v>
      </x:c>
      <x:c r="D17" s="14" t="str">
        <x:v>Ресми жария Cloud бетіндегі жоспарлық тариф. Нақты локация/салыққа тәуелді.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15" hidden="0" customHeight="1">
      <x:c r="A18" s="14" t="str">
        <x:v>Open-stack қосымша backup/domain</x:v>
      </x:c>
      <x:c r="B18" s="15" t="n">
        <x:v>3600</x:v>
      </x:c>
      <x:c r="C18" s="14" t="str">
        <x:v>KZT/ай</x:v>
      </x:c>
      <x:c r="D18" s="14" t="str">
        <x:v>Жоспарлық қосымша шығын.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15" hidden="0" customHeight="1">
      <x:c r="A21" s="12" t="str">
        <x:v>Ресми тариф сілтемелері</x:v>
      </x:c>
      <x:c r="B21" s="12" t="str"/>
      <x:c r="C21" s="12" t="str"/>
      <x:c r="D21" s="12" t="str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15" hidden="0" customHeight="1">
      <x:c r="A22" s="14" t="str">
        <x:v>AWS Lightsail pricing</x:v>
      </x:c>
      <x:c r="B22" s="14" t="str"/>
      <x:c r="C22" s="14" t="str"/>
      <x:c r="D22" s="17" t="str">
        <x:v>https://aws.amazon.com/lightsail/pricing/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15" hidden="0" customHeight="1">
      <x:c r="A23" s="14" t="str">
        <x:v>AWS EC2 on-demand reference</x:v>
      </x:c>
      <x:c r="B23" s="14" t="str"/>
      <x:c r="C23" s="14" t="str"/>
      <x:c r="D23" s="17" t="str">
        <x:v>https://aws.amazon.com/ec2/pricing/on-demand/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15" hidden="0" customHeight="1">
      <x:c r="A24" s="14" t="str">
        <x:v>Hetzner Cloud</x:v>
      </x:c>
      <x:c r="B24" s="14" t="str"/>
      <x:c r="C24" s="14" t="str"/>
      <x:c r="D24" s="17" t="str">
        <x:v>https://www.hetzner.com/cloud/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6" hidden="0" customHeight="1">
      <x:c r="A25" s="14" t="str">
        <x:v>Ескерту</x:v>
      </x:c>
      <x:c r="B25" s="14" t="str"/>
      <x:c r="C25" s="14" t="str"/>
      <x:c r="D25" s="17" t="str">
        <x:v>Тарифтер 22.10.2026 күні қаралды. Бұлтқа нақты тіркелу/төлем жасалмады. ҚҚС, аймақ, трафик және айырбас бағамы бөлек нақтыланады.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</x:sheetData>
  <x:mergeCells>
    <x:mergeCell ref="A1:D1"/>
  </x:mergeCells>
  <x:pageMargins left="0.7" right="0.7" top="0.75" bottom="0.75" header="0.3" footer="0.3"/>
</x:worksheet>
</file>