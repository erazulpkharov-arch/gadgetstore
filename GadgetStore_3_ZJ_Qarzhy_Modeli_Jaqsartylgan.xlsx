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erassil\Desktop\"/>
    </mc:Choice>
  </mc:AlternateContent>
  <xr:revisionPtr revIDLastSave="0" documentId="8_{78F34584-A697-47BD-A458-024EE747324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Жорамалдар" sheetId="1" r:id="rId1"/>
    <sheet name="TCO" sheetId="2" r:id="rId2"/>
    <sheet name="Сезімталдық" sheetId="3" r:id="rId3"/>
    <sheet name="Open Sour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4" l="1"/>
  <c r="D12" i="2"/>
  <c r="D13" i="2" s="1"/>
  <c r="C12" i="2"/>
  <c r="C13" i="2" s="1"/>
  <c r="B12" i="2"/>
  <c r="B13" i="2" s="1"/>
  <c r="D9" i="2"/>
  <c r="C9" i="2"/>
  <c r="B9" i="2"/>
  <c r="E16" i="2" s="1"/>
  <c r="E17" i="2" s="1"/>
  <c r="D8" i="2"/>
  <c r="C8" i="2"/>
  <c r="B8" i="2"/>
  <c r="E8" i="2" s="1"/>
  <c r="D7" i="2"/>
  <c r="C7" i="2"/>
  <c r="B7" i="2"/>
  <c r="E7" i="2" s="1"/>
  <c r="E6" i="2"/>
  <c r="B6" i="4" s="1"/>
  <c r="D6" i="4" s="1"/>
  <c r="D6" i="2"/>
  <c r="C6" i="2"/>
  <c r="B6" i="2"/>
  <c r="D5" i="2"/>
  <c r="J5" i="2" s="1"/>
  <c r="C5" i="2"/>
  <c r="I5" i="2" s="1"/>
  <c r="B5" i="2"/>
  <c r="E5" i="2" s="1"/>
  <c r="J4" i="2"/>
  <c r="J6" i="2" s="1"/>
  <c r="I4" i="2"/>
  <c r="I6" i="2" s="1"/>
  <c r="B4" i="2"/>
  <c r="H4" i="2" s="1"/>
  <c r="B8" i="4" l="1"/>
  <c r="C8" i="4"/>
  <c r="C5" i="4"/>
  <c r="B5" i="4"/>
  <c r="D5" i="4" s="1"/>
  <c r="E13" i="2"/>
  <c r="B14" i="2"/>
  <c r="C14" i="2" s="1"/>
  <c r="D14" i="2" s="1"/>
  <c r="E14" i="2" s="1"/>
  <c r="C7" i="4"/>
  <c r="B7" i="4"/>
  <c r="D7" i="4" s="1"/>
  <c r="H5" i="2"/>
  <c r="H6" i="2" s="1"/>
  <c r="E12" i="2"/>
  <c r="E4" i="2"/>
  <c r="C4" i="4" l="1"/>
  <c r="C9" i="4" s="1"/>
  <c r="H5" i="4" s="1"/>
  <c r="B4" i="4"/>
  <c r="E9" i="2"/>
  <c r="C7" i="3"/>
  <c r="C4" i="3"/>
  <c r="C6" i="3"/>
  <c r="E15" i="2"/>
  <c r="C5" i="3"/>
  <c r="D8" i="4"/>
  <c r="D6" i="3" l="1"/>
  <c r="E6" i="3" s="1"/>
  <c r="I6" i="3" s="1"/>
  <c r="D4" i="3"/>
  <c r="E4" i="3" s="1"/>
  <c r="I4" i="3" s="1"/>
  <c r="B7" i="3"/>
  <c r="B6" i="3"/>
  <c r="B4" i="3"/>
  <c r="B5" i="3"/>
  <c r="B9" i="4"/>
  <c r="H4" i="4" s="1"/>
  <c r="D4" i="4"/>
  <c r="D9" i="4" s="1"/>
  <c r="H6" i="4" s="1"/>
  <c r="D5" i="3"/>
  <c r="E5" i="3" s="1"/>
  <c r="I5" i="3" s="1"/>
  <c r="D7" i="3"/>
  <c r="E7" i="3" s="1"/>
  <c r="I7" i="3" s="1"/>
</calcChain>
</file>

<file path=xl/sharedStrings.xml><?xml version="1.0" encoding="utf-8"?>
<sst xmlns="http://schemas.openxmlformats.org/spreadsheetml/2006/main" count="126" uniqueCount="89">
  <si>
    <t>GadgetStore — 3 жылдық қаржы моделінің жорамалдары</t>
  </si>
  <si>
    <t>Көрсеткіш</t>
  </si>
  <si>
    <t>Мән</t>
  </si>
  <si>
    <t>Бірлік</t>
  </si>
  <si>
    <t>Дереккөз/ескерту</t>
  </si>
  <si>
    <t>Әзірлеу құны</t>
  </si>
  <si>
    <t>₸</t>
  </si>
  <si>
    <t>Оқу жобасына арналған жорамал</t>
  </si>
  <si>
    <t>Инфрақұрылым / жыл</t>
  </si>
  <si>
    <t>₸/жыл</t>
  </si>
  <si>
    <t>Жорамал</t>
  </si>
  <si>
    <t>Лицензиялар / жыл</t>
  </si>
  <si>
    <t>Қолдау, 1-жыл</t>
  </si>
  <si>
    <t>Қолдау, 2–3 жыл</t>
  </si>
  <si>
    <t>Оқыту, 1-жыл</t>
  </si>
  <si>
    <t>Оқыту, 2–3 жыл</t>
  </si>
  <si>
    <t>Күтілетін жылдық әсер</t>
  </si>
  <si>
    <t>Автоматтандыру және қосымша сатылым әсері — жорамал</t>
  </si>
  <si>
    <t>Шығын өсу сценарийі</t>
  </si>
  <si>
    <t>%</t>
  </si>
  <si>
    <t>3-ЗЖ талабы</t>
  </si>
  <si>
    <t>Әсер төмендеу сценарийі</t>
  </si>
  <si>
    <t>Ескерту</t>
  </si>
  <si>
    <t>Нақты коммерциялық статистика берілмегендіктен, барлық қаржылық мәндер оқу мақсатындағы жорамал ретінде белгіленді.</t>
  </si>
  <si>
    <t>Нақты жобада бұл мәндер бұлт калькуляторлары, прайс-парақтар және жалақы бойынша ашық деректермен ауыстырылуы тиіс.</t>
  </si>
  <si>
    <t>Модельдегі есептеулер формулалармен орындалады.</t>
  </si>
  <si>
    <t>GadgetStore — 3 жылдық TCO, ROI және өтелу мерзімі</t>
  </si>
  <si>
    <t>CAPEX / OPEX қорытындысы</t>
  </si>
  <si>
    <t>Шығын бабы</t>
  </si>
  <si>
    <t>1-жыл, ₸</t>
  </si>
  <si>
    <t>2-жыл, ₸</t>
  </si>
  <si>
    <t>3-жыл, ₸</t>
  </si>
  <si>
    <t>3 жыл жиыны, ₸</t>
  </si>
  <si>
    <t>Санат</t>
  </si>
  <si>
    <t>Әзірлеу</t>
  </si>
  <si>
    <t>CAPEX</t>
  </si>
  <si>
    <t>Инфрақұрылым</t>
  </si>
  <si>
    <t>OPEX</t>
  </si>
  <si>
    <t>Лицензиялар</t>
  </si>
  <si>
    <t>Барлығы</t>
  </si>
  <si>
    <t>Қолдау</t>
  </si>
  <si>
    <t>Оқыту</t>
  </si>
  <si>
    <t>TCO</t>
  </si>
  <si>
    <t>1-жыл</t>
  </si>
  <si>
    <t>2-жыл</t>
  </si>
  <si>
    <t>3-жыл</t>
  </si>
  <si>
    <t>3 жыл</t>
  </si>
  <si>
    <t>Күтілетін пайда, ₸</t>
  </si>
  <si>
    <t>Таза ақша ағыны, ₸</t>
  </si>
  <si>
    <t>Жинақталған ақша ағыны, ₸</t>
  </si>
  <si>
    <t>ROI</t>
  </si>
  <si>
    <t>Өтелу мерзімі, жыл</t>
  </si>
  <si>
    <t>Өтелу мерзімі, ай</t>
  </si>
  <si>
    <t>GadgetStore — сезімталдық талдауы</t>
  </si>
  <si>
    <t>Сценарий қорытындысы</t>
  </si>
  <si>
    <t>Сценарий</t>
  </si>
  <si>
    <t>3 жылдық TCO, ₸</t>
  </si>
  <si>
    <t>3 жылдық пайда, ₸</t>
  </si>
  <si>
    <t>Таза пайда, ₸</t>
  </si>
  <si>
    <t>Мағынасы</t>
  </si>
  <si>
    <t>Базалық</t>
  </si>
  <si>
    <t>Негізгі модель</t>
  </si>
  <si>
    <t>Жоба оң нәтиже береді</t>
  </si>
  <si>
    <t>Шығын +30%</t>
  </si>
  <si>
    <t>Тиімділік төмендейді</t>
  </si>
  <si>
    <t>Әсер тек 50%</t>
  </si>
  <si>
    <t>Әсер 50%</t>
  </si>
  <si>
    <t>Жоба өзін ақтамайды</t>
  </si>
  <si>
    <t>Шығын +30% және әсер 50%</t>
  </si>
  <si>
    <t>Қосымша стресс-сценарий</t>
  </si>
  <si>
    <t>Екеуі бірге</t>
  </si>
  <si>
    <t>Ең нашар сценарий</t>
  </si>
  <si>
    <t>GadgetStore — коммерциялық және Open Source нұсқаларын салыстыру</t>
  </si>
  <si>
    <t>Open Source әсері</t>
  </si>
  <si>
    <t>Коммерциялық стек, 3 жыл ₸</t>
  </si>
  <si>
    <t>Open Source, 3 жыл ₸</t>
  </si>
  <si>
    <t>Үнем, ₸</t>
  </si>
  <si>
    <t>Түсініктеме</t>
  </si>
  <si>
    <t>Open Source-та да әзірлеу қажет</t>
  </si>
  <si>
    <t>Коммерциялық TCO</t>
  </si>
  <si>
    <t>Екі нұсқада да хостинг қажет</t>
  </si>
  <si>
    <t>Open Source TCO</t>
  </si>
  <si>
    <t>Flask/PostgreSQL/Docker — ашық БҚ</t>
  </si>
  <si>
    <t>Үнем</t>
  </si>
  <si>
    <t>Лицензиялық шығын азаяды</t>
  </si>
  <si>
    <t>Қолдау шығыны сақталады</t>
  </si>
  <si>
    <t>Оқыту шығыны сақталады</t>
  </si>
  <si>
    <t>ROI — Return on Investment, яғни салынған инвестицияның қайтарымы</t>
  </si>
  <si>
    <t>ROI = (Пайда − Шығын) / Шығын ×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</si>
</sst>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[Red]\(#,##0\);\-"/>
    <numFmt numFmtId="166" formatCode="0.0"/>
    <numFmt numFmtId="167" formatCode="0.0%"/>
    <numFmt numFmtId="168" formatCode="0.0%;[Red]\(0.0%\)"/>
  </numFmts>
  <fonts count="11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1"/>
      <name val="Carlito"/>
    </font>
    <font>
      <b/>
      <sz val="11"/>
      <color rgb="FF17365D"/>
      <name val="Carlito"/>
    </font>
    <font>
      <sz val="11"/>
      <color rgb="FF008000"/>
      <name val="Carlito"/>
    </font>
    <font>
      <b/>
      <sz val="11"/>
      <color rgb="FF000000"/>
      <name val="Carlito"/>
    </font>
    <font>
      <sz val="11"/>
      <name val="Carlito"/>
    </font>
    <font>
      <sz val="11"/>
      <color rgb="FF9C57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F243E"/>
      </patternFill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EAF2F8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17365D"/>
      </top>
      <bottom/>
      <diagonal/>
    </border>
  </borders>
  <cellStyleXfs count="4">
    <xf numFmtId="0" fontId="0" fillId="0" borderId="0"/>
    <xf numFmtId="0" fontId="8" fillId="0" borderId="0"/>
    <xf numFmtId="0" fontId="9" fillId="9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32">
    <xf numFmtId="0" fontId="0" fillId="0" borderId="0" xfId="0"/>
    <xf numFmtId="164" fontId="0" fillId="0" borderId="0" xfId="1" applyNumberFormat="1" applyFont="1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64" fontId="0" fillId="0" borderId="0" xfId="1" applyNumberFormat="1" applyFont="1" applyAlignment="1">
      <alignment wrapText="1"/>
    </xf>
    <xf numFmtId="0" fontId="2" fillId="4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164" fontId="3" fillId="5" borderId="0" xfId="1" applyNumberFormat="1" applyFont="1" applyFill="1" applyAlignment="1">
      <alignment vertical="center" wrapText="1"/>
    </xf>
    <xf numFmtId="9" fontId="3" fillId="5" borderId="0" xfId="1" applyNumberFormat="1" applyFont="1" applyFill="1" applyAlignment="1">
      <alignment vertical="center" wrapText="1"/>
    </xf>
    <xf numFmtId="0" fontId="5" fillId="6" borderId="0" xfId="1" applyFont="1" applyFill="1" applyAlignment="1">
      <alignment vertical="center" wrapText="1"/>
    </xf>
    <xf numFmtId="0" fontId="4" fillId="7" borderId="0" xfId="1" applyFont="1" applyFill="1" applyAlignment="1">
      <alignment wrapText="1"/>
    </xf>
    <xf numFmtId="164" fontId="2" fillId="4" borderId="0" xfId="1" applyNumberFormat="1" applyFont="1" applyFill="1" applyAlignment="1">
      <alignment horizontal="center" vertical="center" wrapText="1"/>
    </xf>
    <xf numFmtId="164" fontId="6" fillId="0" borderId="0" xfId="1" applyNumberFormat="1" applyFont="1" applyAlignment="1">
      <alignment vertical="center" wrapText="1"/>
    </xf>
    <xf numFmtId="0" fontId="4" fillId="7" borderId="2" xfId="1" applyFont="1" applyFill="1" applyBorder="1" applyAlignment="1">
      <alignment vertical="center" wrapText="1"/>
    </xf>
    <xf numFmtId="164" fontId="7" fillId="7" borderId="2" xfId="1" applyNumberFormat="1" applyFont="1" applyFill="1" applyBorder="1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0" fontId="0" fillId="8" borderId="0" xfId="1" applyFont="1" applyFill="1" applyAlignment="1">
      <alignment vertical="center" wrapText="1"/>
    </xf>
    <xf numFmtId="167" fontId="7" fillId="8" borderId="0" xfId="1" applyNumberFormat="1" applyFont="1" applyFill="1" applyAlignment="1">
      <alignment vertical="center" wrapText="1"/>
    </xf>
    <xf numFmtId="166" fontId="7" fillId="8" borderId="0" xfId="1" applyNumberFormat="1" applyFont="1" applyFill="1" applyAlignment="1">
      <alignment vertical="center" wrapText="1"/>
    </xf>
    <xf numFmtId="0" fontId="4" fillId="6" borderId="0" xfId="1" applyFont="1" applyFill="1"/>
    <xf numFmtId="0" fontId="4" fillId="7" borderId="0" xfId="1" applyFont="1" applyFill="1"/>
    <xf numFmtId="164" fontId="4" fillId="7" borderId="0" xfId="1" applyNumberFormat="1" applyFont="1" applyFill="1"/>
    <xf numFmtId="168" fontId="0" fillId="0" borderId="0" xfId="1" applyNumberFormat="1" applyFont="1" applyAlignment="1">
      <alignment wrapText="1"/>
    </xf>
    <xf numFmtId="168" fontId="0" fillId="0" borderId="0" xfId="1" applyNumberFormat="1" applyFont="1"/>
    <xf numFmtId="164" fontId="4" fillId="7" borderId="0" xfId="1" applyNumberFormat="1" applyFont="1" applyFill="1" applyAlignment="1">
      <alignment wrapText="1"/>
    </xf>
    <xf numFmtId="0" fontId="1" fillId="3" borderId="0" xfId="1" applyFont="1" applyFill="1" applyAlignment="1">
      <alignment horizontal="left" vertical="center" wrapText="1"/>
    </xf>
    <xf numFmtId="0" fontId="1" fillId="2" borderId="0" xfId="1" applyFont="1" applyFill="1" applyAlignment="1">
      <alignment horizontal="center" vertical="center" wrapText="1"/>
    </xf>
    <xf numFmtId="0" fontId="2" fillId="3" borderId="0" xfId="1" applyFont="1" applyFill="1"/>
    <xf numFmtId="0" fontId="1" fillId="3" borderId="0" xfId="1" applyFont="1" applyFill="1" applyAlignment="1">
      <alignment horizontal="center" vertical="center" wrapText="1"/>
    </xf>
    <xf numFmtId="0" fontId="9" fillId="9" borderId="0" xfId="2"/>
    <xf numFmtId="0" fontId="0" fillId="0" borderId="1" xfId="0" applyBorder="1"/>
    <xf numFmtId="0" fontId="10" fillId="0" borderId="1" xfId="3" applyBorder="1"/>
  </cellXfs>
  <cellStyles count="4">
    <cellStyle name="Normal" xfId="1" xr:uid="{00000000-0005-0000-0000-000000000000}"/>
    <cellStyle name="Нейтральный" xfId="2" builtinId="28"/>
    <cellStyle name="Обычный" xfId="0" builtinId="0"/>
    <cellStyle name="Текст предупреждения" xfId="3" builtinId="11"/>
  </cellStyles>
  <dxfs count="2"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Жылдық пайда және таза ақша ағыны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1-жыл</c:v>
          </c:tx>
          <c:invertIfNegative val="1"/>
          <c:cat>
            <c:strRef>
              <c:f>TCO!$A$12:$A$13</c:f>
              <c:strCache>
                <c:ptCount val="2"/>
                <c:pt idx="0">
                  <c:v>Күтілетін пайда, ₸</c:v>
                </c:pt>
                <c:pt idx="1">
                  <c:v>Таза ақша ағыны, ₸</c:v>
                </c:pt>
              </c:strCache>
            </c:strRef>
          </c:cat>
          <c:val>
            <c:numRef>
              <c:f>TCO!$B$12:$B$13</c:f>
              <c:numCache>
                <c:formatCode>#\ ##0;[Red]\(#\ ##0\);\-</c:formatCode>
                <c:ptCount val="2"/>
                <c:pt idx="0">
                  <c:v>2400000</c:v>
                </c:pt>
                <c:pt idx="1">
                  <c:v>-330000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B6-4821-B795-0D0834766D3C}"/>
            </c:ext>
          </c:extLst>
        </c:ser>
        <c:ser>
          <c:idx val="1"/>
          <c:order val="1"/>
          <c:tx>
            <c:v>2-жыл</c:v>
          </c:tx>
          <c:invertIfNegative val="1"/>
          <c:cat>
            <c:strRef>
              <c:f>TCO!$A$12:$A$13</c:f>
              <c:strCache>
                <c:ptCount val="2"/>
                <c:pt idx="0">
                  <c:v>Күтілетін пайда, ₸</c:v>
                </c:pt>
                <c:pt idx="1">
                  <c:v>Таза ақша ағыны, ₸</c:v>
                </c:pt>
              </c:strCache>
            </c:strRef>
          </c:cat>
          <c:val>
            <c:numRef>
              <c:f>TCO!$C$12:$C$13</c:f>
              <c:numCache>
                <c:formatCode>#\ ##0;[Red]\(#\ ##0\);\-</c:formatCode>
                <c:ptCount val="2"/>
                <c:pt idx="0">
                  <c:v>2400000</c:v>
                </c:pt>
                <c:pt idx="1">
                  <c:v>1420000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B6-4821-B795-0D0834766D3C}"/>
            </c:ext>
          </c:extLst>
        </c:ser>
        <c:ser>
          <c:idx val="2"/>
          <c:order val="2"/>
          <c:tx>
            <c:v>3-жыл</c:v>
          </c:tx>
          <c:invertIfNegative val="1"/>
          <c:cat>
            <c:strRef>
              <c:f>TCO!$A$12:$A$13</c:f>
              <c:strCache>
                <c:ptCount val="2"/>
                <c:pt idx="0">
                  <c:v>Күтілетін пайда, ₸</c:v>
                </c:pt>
                <c:pt idx="1">
                  <c:v>Таза ақша ағыны, ₸</c:v>
                </c:pt>
              </c:strCache>
            </c:strRef>
          </c:cat>
          <c:val>
            <c:numRef>
              <c:f>TCO!$D$12:$D$13</c:f>
              <c:numCache>
                <c:formatCode>#\ ##0;[Red]\(#\ ##0\);\-</c:formatCode>
                <c:ptCount val="2"/>
                <c:pt idx="0">
                  <c:v>2400000</c:v>
                </c:pt>
                <c:pt idx="1">
                  <c:v>1420000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B6-4821-B795-0D0834766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;[Red]\(#\ 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Сценарийлер бойынша </a:t>
            </a:r>
            <a:r>
              <a:rPr lang="en-US"/>
              <a:t>ROI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3 жылдық TCO, ₸</c:v>
          </c:tx>
          <c:invertIfNegative val="1"/>
          <c:cat>
            <c:strRef>
              <c:f>Сезімталдық!$A$4:$A$7</c:f>
              <c:strCache>
                <c:ptCount val="4"/>
                <c:pt idx="0">
                  <c:v>Базалық</c:v>
                </c:pt>
                <c:pt idx="1">
                  <c:v>Шығын +30%</c:v>
                </c:pt>
                <c:pt idx="2">
                  <c:v>Әсер тек 50%</c:v>
                </c:pt>
                <c:pt idx="3">
                  <c:v>Шығын +30% және әсер 50%</c:v>
                </c:pt>
              </c:strCache>
            </c:strRef>
          </c:cat>
          <c:val>
            <c:numRef>
              <c:f>Сезімталдық!$B$4:$B$7</c:f>
              <c:numCache>
                <c:formatCode>#\ ##0;[Red]\(#\ ##0\);\-</c:formatCode>
                <c:ptCount val="4"/>
                <c:pt idx="0">
                  <c:v>4690000</c:v>
                </c:pt>
                <c:pt idx="1">
                  <c:v>6097000</c:v>
                </c:pt>
                <c:pt idx="2">
                  <c:v>4690000</c:v>
                </c:pt>
                <c:pt idx="3">
                  <c:v>6097000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99-4977-9AD1-1A4ED5FFE104}"/>
            </c:ext>
          </c:extLst>
        </c:ser>
        <c:ser>
          <c:idx val="1"/>
          <c:order val="1"/>
          <c:tx>
            <c:v>3 жылдық пайда, ₸</c:v>
          </c:tx>
          <c:invertIfNegative val="1"/>
          <c:cat>
            <c:strRef>
              <c:f>Сезімталдық!$A$4:$A$7</c:f>
              <c:strCache>
                <c:ptCount val="4"/>
                <c:pt idx="0">
                  <c:v>Базалық</c:v>
                </c:pt>
                <c:pt idx="1">
                  <c:v>Шығын +30%</c:v>
                </c:pt>
                <c:pt idx="2">
                  <c:v>Әсер тек 50%</c:v>
                </c:pt>
                <c:pt idx="3">
                  <c:v>Шығын +30% және әсер 50%</c:v>
                </c:pt>
              </c:strCache>
            </c:strRef>
          </c:cat>
          <c:val>
            <c:numRef>
              <c:f>Сезімталдық!$C$4:$C$7</c:f>
              <c:numCache>
                <c:formatCode>#\ ##0;[Red]\(#\ ##0\);\-</c:formatCode>
                <c:ptCount val="4"/>
                <c:pt idx="0">
                  <c:v>7200000</c:v>
                </c:pt>
                <c:pt idx="1">
                  <c:v>7200000</c:v>
                </c:pt>
                <c:pt idx="2">
                  <c:v>3600000</c:v>
                </c:pt>
                <c:pt idx="3">
                  <c:v>3600000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99-4977-9AD1-1A4ED5FFE104}"/>
            </c:ext>
          </c:extLst>
        </c:ser>
        <c:ser>
          <c:idx val="2"/>
          <c:order val="2"/>
          <c:tx>
            <c:v>Таза пайда, ₸</c:v>
          </c:tx>
          <c:invertIfNegative val="1"/>
          <c:cat>
            <c:strRef>
              <c:f>Сезімталдық!$A$4:$A$7</c:f>
              <c:strCache>
                <c:ptCount val="4"/>
                <c:pt idx="0">
                  <c:v>Базалық</c:v>
                </c:pt>
                <c:pt idx="1">
                  <c:v>Шығын +30%</c:v>
                </c:pt>
                <c:pt idx="2">
                  <c:v>Әсер тек 50%</c:v>
                </c:pt>
                <c:pt idx="3">
                  <c:v>Шығын +30% және әсер 50%</c:v>
                </c:pt>
              </c:strCache>
            </c:strRef>
          </c:cat>
          <c:val>
            <c:numRef>
              <c:f>Сезімталдық!$D$4:$D$7</c:f>
              <c:numCache>
                <c:formatCode>#\ ##0;[Red]\(#\ ##0\);\-</c:formatCode>
                <c:ptCount val="4"/>
                <c:pt idx="0">
                  <c:v>2510000</c:v>
                </c:pt>
                <c:pt idx="1">
                  <c:v>1103000</c:v>
                </c:pt>
                <c:pt idx="2">
                  <c:v>-1090000</c:v>
                </c:pt>
                <c:pt idx="3">
                  <c:v>-2497000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99-4977-9AD1-1A4ED5FFE104}"/>
            </c:ext>
          </c:extLst>
        </c:ser>
        <c:ser>
          <c:idx val="3"/>
          <c:order val="3"/>
          <c:tx>
            <c:v>ROI</c:v>
          </c:tx>
          <c:invertIfNegative val="1"/>
          <c:cat>
            <c:strRef>
              <c:f>Сезімталдық!$A$4:$A$7</c:f>
              <c:strCache>
                <c:ptCount val="4"/>
                <c:pt idx="0">
                  <c:v>Базалық</c:v>
                </c:pt>
                <c:pt idx="1">
                  <c:v>Шығын +30%</c:v>
                </c:pt>
                <c:pt idx="2">
                  <c:v>Әсер тек 50%</c:v>
                </c:pt>
                <c:pt idx="3">
                  <c:v>Шығын +30% және әсер 50%</c:v>
                </c:pt>
              </c:strCache>
            </c:strRef>
          </c:cat>
          <c:val>
            <c:numRef>
              <c:f>Сезімталдық!$E$4:$E$7</c:f>
              <c:numCache>
                <c:formatCode>0.0%;[Red]\(0.0%\)</c:formatCode>
                <c:ptCount val="4"/>
                <c:pt idx="0">
                  <c:v>0.53518123667377404</c:v>
                </c:pt>
                <c:pt idx="1">
                  <c:v>0.18090864359521075</c:v>
                </c:pt>
                <c:pt idx="2">
                  <c:v>-0.23240938166311301</c:v>
                </c:pt>
                <c:pt idx="3">
                  <c:v>-0.40954567820239463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99-4977-9AD1-1A4ED5FFE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;[Red]\(#\ 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Коммерциялық стек </a:t>
            </a:r>
            <a:r>
              <a:rPr lang="en-US"/>
              <a:t>vs Open Source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Коммерциялық стек, 3 жыл ₸</c:v>
          </c:tx>
          <c:invertIfNegative val="1"/>
          <c:cat>
            <c:strRef>
              <c:f>'Open Source'!$A$4:$A$9</c:f>
              <c:strCache>
                <c:ptCount val="6"/>
                <c:pt idx="0">
                  <c:v>Әзірлеу</c:v>
                </c:pt>
                <c:pt idx="1">
                  <c:v>Инфрақұрылым</c:v>
                </c:pt>
                <c:pt idx="2">
                  <c:v>Лицензиялар</c:v>
                </c:pt>
                <c:pt idx="3">
                  <c:v>Қолдау</c:v>
                </c:pt>
                <c:pt idx="4">
                  <c:v>Оқыту</c:v>
                </c:pt>
                <c:pt idx="5">
                  <c:v>TCO</c:v>
                </c:pt>
              </c:strCache>
            </c:strRef>
          </c:cat>
          <c:val>
            <c:numRef>
              <c:f>'Open Source'!$B$4:$B$9</c:f>
              <c:numCache>
                <c:formatCode>#\ ##0;[Red]\(#\ ##0\);\-</c:formatCode>
                <c:ptCount val="6"/>
                <c:pt idx="0">
                  <c:v>1800000</c:v>
                </c:pt>
                <c:pt idx="1">
                  <c:v>1080000</c:v>
                </c:pt>
                <c:pt idx="2">
                  <c:v>360000</c:v>
                </c:pt>
                <c:pt idx="3">
                  <c:v>1200000</c:v>
                </c:pt>
                <c:pt idx="4">
                  <c:v>250000</c:v>
                </c:pt>
                <c:pt idx="5">
                  <c:v>4690000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8-4506-A132-275DA4BED2BC}"/>
            </c:ext>
          </c:extLst>
        </c:ser>
        <c:ser>
          <c:idx val="1"/>
          <c:order val="1"/>
          <c:tx>
            <c:v>Open Source, 3 жыл ₸</c:v>
          </c:tx>
          <c:invertIfNegative val="1"/>
          <c:cat>
            <c:strRef>
              <c:f>'Open Source'!$A$4:$A$9</c:f>
              <c:strCache>
                <c:ptCount val="6"/>
                <c:pt idx="0">
                  <c:v>Әзірлеу</c:v>
                </c:pt>
                <c:pt idx="1">
                  <c:v>Инфрақұрылым</c:v>
                </c:pt>
                <c:pt idx="2">
                  <c:v>Лицензиялар</c:v>
                </c:pt>
                <c:pt idx="3">
                  <c:v>Қолдау</c:v>
                </c:pt>
                <c:pt idx="4">
                  <c:v>Оқыту</c:v>
                </c:pt>
                <c:pt idx="5">
                  <c:v>TCO</c:v>
                </c:pt>
              </c:strCache>
            </c:strRef>
          </c:cat>
          <c:val>
            <c:numRef>
              <c:f>'Open Source'!$C$4:$C$9</c:f>
              <c:numCache>
                <c:formatCode>#\ ##0;[Red]\(#\ ##0\);\-</c:formatCode>
                <c:ptCount val="6"/>
                <c:pt idx="0">
                  <c:v>1800000</c:v>
                </c:pt>
                <c:pt idx="1">
                  <c:v>1080000</c:v>
                </c:pt>
                <c:pt idx="2">
                  <c:v>0</c:v>
                </c:pt>
                <c:pt idx="3">
                  <c:v>1200000</c:v>
                </c:pt>
                <c:pt idx="4">
                  <c:v>250000</c:v>
                </c:pt>
                <c:pt idx="5">
                  <c:v>4330000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E8-4506-A132-275DA4BED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;[Red]\(#\ 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sqref="A1:D1"/>
    </sheetView>
  </sheetViews>
  <sheetFormatPr defaultRowHeight="13.8"/>
  <cols>
    <col min="1" max="1" width="31" customWidth="1"/>
    <col min="2" max="2" width="18" customWidth="1"/>
    <col min="3" max="3" width="15" customWidth="1"/>
    <col min="4" max="4" width="46" customWidth="1"/>
  </cols>
  <sheetData>
    <row r="1" spans="1:6" ht="22.35" customHeight="1">
      <c r="A1" s="25" t="s">
        <v>0</v>
      </c>
      <c r="B1" s="26"/>
      <c r="C1" s="26"/>
      <c r="D1" s="26"/>
      <c r="E1" s="2"/>
      <c r="F1" s="2"/>
    </row>
    <row r="2" spans="1:6" ht="12" customHeight="1">
      <c r="A2" s="6"/>
      <c r="B2" s="6"/>
      <c r="C2" s="6"/>
      <c r="D2" s="6"/>
      <c r="E2" s="3"/>
      <c r="F2" s="3"/>
    </row>
    <row r="3" spans="1:6" ht="21.15" customHeight="1">
      <c r="A3" s="5" t="s">
        <v>1</v>
      </c>
      <c r="B3" s="5" t="s">
        <v>2</v>
      </c>
      <c r="C3" s="5" t="s">
        <v>3</v>
      </c>
      <c r="D3" s="5" t="s">
        <v>4</v>
      </c>
      <c r="E3" s="3"/>
      <c r="F3" s="3"/>
    </row>
    <row r="4" spans="1:6" ht="42.15" customHeight="1">
      <c r="A4" s="6" t="s">
        <v>5</v>
      </c>
      <c r="B4" s="7">
        <v>1800000</v>
      </c>
      <c r="C4" s="6" t="s">
        <v>6</v>
      </c>
      <c r="D4" s="6" t="s">
        <v>7</v>
      </c>
      <c r="E4" s="3"/>
      <c r="F4" s="3"/>
    </row>
    <row r="5" spans="1:6" ht="31.65" customHeight="1">
      <c r="A5" s="6" t="s">
        <v>8</v>
      </c>
      <c r="B5" s="7">
        <v>360000</v>
      </c>
      <c r="C5" s="6" t="s">
        <v>9</v>
      </c>
      <c r="D5" s="6" t="s">
        <v>10</v>
      </c>
      <c r="E5" s="3"/>
      <c r="F5" s="3"/>
    </row>
    <row r="6" spans="1:6" ht="21.15" customHeight="1">
      <c r="A6" s="6" t="s">
        <v>11</v>
      </c>
      <c r="B6" s="7">
        <v>120000</v>
      </c>
      <c r="C6" s="6" t="s">
        <v>9</v>
      </c>
      <c r="D6" s="6" t="s">
        <v>10</v>
      </c>
      <c r="E6" s="3"/>
      <c r="F6" s="3"/>
    </row>
    <row r="7" spans="1:6" ht="21.15" customHeight="1">
      <c r="A7" s="6" t="s">
        <v>12</v>
      </c>
      <c r="B7" s="7">
        <v>300000</v>
      </c>
      <c r="C7" s="6" t="s">
        <v>6</v>
      </c>
      <c r="D7" s="6" t="s">
        <v>10</v>
      </c>
      <c r="E7" s="3"/>
      <c r="F7" s="3"/>
    </row>
    <row r="8" spans="1:6" ht="21.15" customHeight="1">
      <c r="A8" s="6" t="s">
        <v>13</v>
      </c>
      <c r="B8" s="7">
        <v>450000</v>
      </c>
      <c r="C8" s="6" t="s">
        <v>9</v>
      </c>
      <c r="D8" s="6" t="s">
        <v>10</v>
      </c>
      <c r="E8" s="3"/>
      <c r="F8" s="3"/>
    </row>
    <row r="9" spans="1:6" ht="21.15" customHeight="1">
      <c r="A9" s="6" t="s">
        <v>14</v>
      </c>
      <c r="B9" s="7">
        <v>150000</v>
      </c>
      <c r="C9" s="6" t="s">
        <v>6</v>
      </c>
      <c r="D9" s="6" t="s">
        <v>10</v>
      </c>
      <c r="E9" s="3"/>
      <c r="F9" s="3"/>
    </row>
    <row r="10" spans="1:6" ht="21.15" customHeight="1">
      <c r="A10" s="6" t="s">
        <v>15</v>
      </c>
      <c r="B10" s="7">
        <v>50000</v>
      </c>
      <c r="C10" s="6" t="s">
        <v>9</v>
      </c>
      <c r="D10" s="6" t="s">
        <v>10</v>
      </c>
      <c r="E10" s="3"/>
      <c r="F10" s="3"/>
    </row>
    <row r="11" spans="1:6" ht="73.95" customHeight="1">
      <c r="A11" s="6" t="s">
        <v>16</v>
      </c>
      <c r="B11" s="7">
        <v>2400000</v>
      </c>
      <c r="C11" s="6" t="s">
        <v>9</v>
      </c>
      <c r="D11" s="6" t="s">
        <v>17</v>
      </c>
      <c r="E11" s="3"/>
      <c r="F11" s="3"/>
    </row>
    <row r="12" spans="1:6" ht="31.65" customHeight="1">
      <c r="A12" s="6" t="s">
        <v>18</v>
      </c>
      <c r="B12" s="8">
        <v>0.3</v>
      </c>
      <c r="C12" s="6" t="s">
        <v>19</v>
      </c>
      <c r="D12" s="6" t="s">
        <v>20</v>
      </c>
      <c r="E12" s="3"/>
      <c r="F12" s="3"/>
    </row>
    <row r="13" spans="1:6" ht="31.65" customHeight="1">
      <c r="A13" s="6" t="s">
        <v>21</v>
      </c>
      <c r="B13" s="8">
        <v>0.5</v>
      </c>
      <c r="C13" s="6" t="s">
        <v>19</v>
      </c>
      <c r="D13" s="6" t="s">
        <v>20</v>
      </c>
      <c r="E13" s="3"/>
      <c r="F13" s="3"/>
    </row>
    <row r="14" spans="1:6" ht="12" customHeight="1">
      <c r="A14" s="6"/>
      <c r="B14" s="6"/>
      <c r="C14" s="6"/>
      <c r="D14" s="6"/>
      <c r="E14" s="3"/>
      <c r="F14" s="3"/>
    </row>
    <row r="15" spans="1:6" ht="12" customHeight="1">
      <c r="A15" s="9" t="s">
        <v>22</v>
      </c>
      <c r="B15" s="9"/>
      <c r="C15" s="9"/>
      <c r="D15" s="9"/>
      <c r="E15" s="3"/>
      <c r="F15" s="3"/>
    </row>
    <row r="16" spans="1:6" ht="179.55" customHeight="1">
      <c r="A16" s="6" t="s">
        <v>23</v>
      </c>
      <c r="B16" s="6"/>
      <c r="C16" s="6"/>
      <c r="D16" s="6"/>
      <c r="E16" s="3"/>
      <c r="F16" s="3"/>
    </row>
    <row r="17" spans="1:6" ht="179.55" customHeight="1">
      <c r="A17" s="6" t="s">
        <v>24</v>
      </c>
      <c r="B17" s="6"/>
      <c r="C17" s="6"/>
      <c r="D17" s="6"/>
      <c r="E17" s="3"/>
      <c r="F17" s="3"/>
    </row>
    <row r="18" spans="1:6" ht="84.45" customHeight="1">
      <c r="A18" s="6" t="s">
        <v>25</v>
      </c>
      <c r="B18" s="6"/>
      <c r="C18" s="6"/>
      <c r="D18" s="6"/>
      <c r="E18" s="3"/>
      <c r="F18" s="3"/>
    </row>
    <row r="19" spans="1:6" ht="12" customHeight="1">
      <c r="A19" s="3"/>
      <c r="B19" s="3"/>
      <c r="C19" s="3"/>
      <c r="D19" s="3"/>
      <c r="E19" s="3"/>
      <c r="F19" s="3"/>
    </row>
    <row r="20" spans="1:6" ht="12" customHeight="1">
      <c r="A20" s="3"/>
      <c r="B20" s="3"/>
      <c r="C20" s="3"/>
      <c r="D20" s="3"/>
      <c r="E20" s="3"/>
      <c r="F20" s="3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topLeftCell="B1" workbookViewId="0">
      <selection activeCell="H5" sqref="H5"/>
    </sheetView>
  </sheetViews>
  <sheetFormatPr defaultRowHeight="13.8"/>
  <cols>
    <col min="1" max="1" width="30" customWidth="1"/>
    <col min="2" max="5" width="17" customWidth="1"/>
    <col min="7" max="7" width="20" customWidth="1"/>
    <col min="8" max="10" width="15" customWidth="1"/>
  </cols>
  <sheetData>
    <row r="1" spans="1:10" ht="22.35" customHeight="1">
      <c r="A1" s="25" t="s">
        <v>26</v>
      </c>
      <c r="B1" s="26"/>
      <c r="C1" s="26"/>
      <c r="D1" s="26"/>
      <c r="E1" s="26"/>
      <c r="F1" s="2"/>
    </row>
    <row r="2" spans="1:10" ht="12" customHeight="1">
      <c r="A2" s="6"/>
      <c r="B2" s="6"/>
      <c r="C2" s="6"/>
      <c r="D2" s="6"/>
      <c r="E2" s="6"/>
      <c r="F2" s="3"/>
      <c r="G2" s="27" t="s">
        <v>27</v>
      </c>
      <c r="H2" s="27"/>
      <c r="I2" s="27"/>
      <c r="J2" s="27"/>
    </row>
    <row r="3" spans="1:10" ht="21.15" customHeight="1">
      <c r="A3" s="5" t="s">
        <v>28</v>
      </c>
      <c r="B3" s="5" t="s">
        <v>29</v>
      </c>
      <c r="C3" s="5" t="s">
        <v>30</v>
      </c>
      <c r="D3" s="5" t="s">
        <v>31</v>
      </c>
      <c r="E3" s="5" t="s">
        <v>32</v>
      </c>
      <c r="F3" s="3"/>
      <c r="G3" s="19" t="s">
        <v>33</v>
      </c>
      <c r="H3" s="19" t="s">
        <v>29</v>
      </c>
      <c r="I3" s="19" t="s">
        <v>30</v>
      </c>
      <c r="J3" s="19" t="s">
        <v>31</v>
      </c>
    </row>
    <row r="4" spans="1:10" ht="12" customHeight="1">
      <c r="A4" s="6" t="s">
        <v>34</v>
      </c>
      <c r="B4" s="12">
        <f>Жорамалдар!B4</f>
        <v>1800000</v>
      </c>
      <c r="C4" s="12">
        <v>0</v>
      </c>
      <c r="D4" s="12">
        <v>0</v>
      </c>
      <c r="E4" s="12">
        <f>SUM(B4:D4)</f>
        <v>1800000</v>
      </c>
      <c r="F4" s="3"/>
      <c r="G4" t="s">
        <v>35</v>
      </c>
      <c r="H4" s="1">
        <f>B4</f>
        <v>1800000</v>
      </c>
      <c r="I4" s="1">
        <f>C4</f>
        <v>0</v>
      </c>
      <c r="J4" s="1">
        <f>D4</f>
        <v>0</v>
      </c>
    </row>
    <row r="5" spans="1:10" ht="21.15" customHeight="1">
      <c r="A5" s="6" t="s">
        <v>36</v>
      </c>
      <c r="B5" s="12">
        <f>Жорамалдар!B5</f>
        <v>360000</v>
      </c>
      <c r="C5" s="12">
        <f>Жорамалдар!B5</f>
        <v>360000</v>
      </c>
      <c r="D5" s="12">
        <f>Жорамалдар!B5</f>
        <v>360000</v>
      </c>
      <c r="E5" s="12">
        <f>SUM(B5:D5)</f>
        <v>1080000</v>
      </c>
      <c r="F5" s="3"/>
      <c r="G5" t="s">
        <v>37</v>
      </c>
      <c r="H5" s="1">
        <f>SUM(B5:B8)</f>
        <v>930000</v>
      </c>
      <c r="I5" s="1">
        <f>SUM(C5:C8)</f>
        <v>980000</v>
      </c>
      <c r="J5" s="1">
        <f>SUM(D5:D8)</f>
        <v>980000</v>
      </c>
    </row>
    <row r="6" spans="1:10" ht="21.15" customHeight="1">
      <c r="A6" s="6" t="s">
        <v>38</v>
      </c>
      <c r="B6" s="12">
        <f>Жорамалдар!B6</f>
        <v>120000</v>
      </c>
      <c r="C6" s="12">
        <f>Жорамалдар!B6</f>
        <v>120000</v>
      </c>
      <c r="D6" s="12">
        <f>Жорамалдар!B6</f>
        <v>120000</v>
      </c>
      <c r="E6" s="12">
        <f>SUM(B6:D6)</f>
        <v>360000</v>
      </c>
      <c r="F6" s="3"/>
      <c r="G6" s="20" t="s">
        <v>39</v>
      </c>
      <c r="H6" s="21">
        <f>SUM(H4:H5)</f>
        <v>2730000</v>
      </c>
      <c r="I6" s="21">
        <f>SUM(I4:I5)</f>
        <v>980000</v>
      </c>
      <c r="J6" s="21">
        <f>SUM(J4:J5)</f>
        <v>980000</v>
      </c>
    </row>
    <row r="7" spans="1:10" ht="12" customHeight="1">
      <c r="A7" s="6" t="s">
        <v>40</v>
      </c>
      <c r="B7" s="12">
        <f>Жорамалдар!B7</f>
        <v>300000</v>
      </c>
      <c r="C7" s="12">
        <f>Жорамалдар!B8</f>
        <v>450000</v>
      </c>
      <c r="D7" s="12">
        <f>Жорамалдар!B8</f>
        <v>450000</v>
      </c>
      <c r="E7" s="12">
        <f>SUM(B7:D7)</f>
        <v>1200000</v>
      </c>
      <c r="F7" s="3"/>
    </row>
    <row r="8" spans="1:10" ht="12" customHeight="1">
      <c r="A8" s="6" t="s">
        <v>41</v>
      </c>
      <c r="B8" s="12">
        <f>Жорамалдар!B9</f>
        <v>150000</v>
      </c>
      <c r="C8" s="12">
        <f>Жорамалдар!B10</f>
        <v>50000</v>
      </c>
      <c r="D8" s="12">
        <f>Жорамалдар!B10</f>
        <v>50000</v>
      </c>
      <c r="E8" s="12">
        <f>SUM(B8:D8)</f>
        <v>250000</v>
      </c>
      <c r="F8" s="3"/>
    </row>
    <row r="9" spans="1:10" ht="12" customHeight="1">
      <c r="A9" s="13" t="s">
        <v>42</v>
      </c>
      <c r="B9" s="14">
        <f>SUM(B4:B8)</f>
        <v>2730000</v>
      </c>
      <c r="C9" s="14">
        <f>SUM(C4:C8)</f>
        <v>980000</v>
      </c>
      <c r="D9" s="14">
        <f>SUM(D4:D8)</f>
        <v>980000</v>
      </c>
      <c r="E9" s="14">
        <f>SUM(E4:E8)</f>
        <v>4690000</v>
      </c>
      <c r="F9" s="3"/>
    </row>
    <row r="10" spans="1:10" ht="12" customHeight="1">
      <c r="A10" s="6"/>
      <c r="B10" s="15"/>
      <c r="C10" s="15"/>
      <c r="D10" s="15"/>
      <c r="E10" s="15"/>
      <c r="F10" s="3"/>
    </row>
    <row r="11" spans="1:10" ht="21.15" customHeight="1">
      <c r="A11" s="5" t="s">
        <v>1</v>
      </c>
      <c r="B11" s="11" t="s">
        <v>43</v>
      </c>
      <c r="C11" s="11" t="s">
        <v>44</v>
      </c>
      <c r="D11" s="11" t="s">
        <v>45</v>
      </c>
      <c r="E11" s="11" t="s">
        <v>46</v>
      </c>
      <c r="F11" s="3"/>
    </row>
    <row r="12" spans="1:10" ht="21.15" customHeight="1">
      <c r="A12" s="6" t="s">
        <v>47</v>
      </c>
      <c r="B12" s="15">
        <f>Жорамалдар!B11</f>
        <v>2400000</v>
      </c>
      <c r="C12" s="15">
        <f>Жорамалдар!B11</f>
        <v>2400000</v>
      </c>
      <c r="D12" s="15">
        <f>Жорамалдар!B11</f>
        <v>2400000</v>
      </c>
      <c r="E12" s="15">
        <f>SUM(B12:D12)</f>
        <v>7200000</v>
      </c>
      <c r="F12" s="3"/>
    </row>
    <row r="13" spans="1:10" ht="21.15" customHeight="1">
      <c r="A13" s="6" t="s">
        <v>48</v>
      </c>
      <c r="B13" s="15">
        <f>B12-B9</f>
        <v>-330000</v>
      </c>
      <c r="C13" s="15">
        <f>C12-C9</f>
        <v>1420000</v>
      </c>
      <c r="D13" s="15">
        <f>D12-D9</f>
        <v>1420000</v>
      </c>
      <c r="E13" s="15">
        <f>SUM(B13:D13)</f>
        <v>2510000</v>
      </c>
      <c r="F13" s="3"/>
    </row>
    <row r="14" spans="1:10" ht="31.65" customHeight="1">
      <c r="A14" s="6" t="s">
        <v>49</v>
      </c>
      <c r="B14" s="15">
        <f>B13</f>
        <v>-330000</v>
      </c>
      <c r="C14" s="15">
        <f>B14+C13</f>
        <v>1090000</v>
      </c>
      <c r="D14" s="15">
        <f>C14+D13</f>
        <v>2510000</v>
      </c>
      <c r="E14" s="15">
        <f>D14</f>
        <v>2510000</v>
      </c>
      <c r="F14" s="3"/>
    </row>
    <row r="15" spans="1:10" ht="12" customHeight="1">
      <c r="A15" s="16" t="s">
        <v>50</v>
      </c>
      <c r="B15" s="16"/>
      <c r="C15" s="16"/>
      <c r="D15" s="16"/>
      <c r="E15" s="17">
        <f>(E12-E9)/E9</f>
        <v>0.53518123667377404</v>
      </c>
      <c r="F15" s="3"/>
    </row>
    <row r="16" spans="1:10" ht="31.65" customHeight="1">
      <c r="A16" s="16" t="s">
        <v>51</v>
      </c>
      <c r="B16" s="16"/>
      <c r="C16" s="16"/>
      <c r="D16" s="16"/>
      <c r="E16" s="18">
        <f>B9/B12</f>
        <v>1.1375</v>
      </c>
      <c r="F16" s="3"/>
    </row>
    <row r="17" spans="1:7" ht="31.65" customHeight="1">
      <c r="A17" s="16" t="s">
        <v>52</v>
      </c>
      <c r="B17" s="16"/>
      <c r="C17" s="16"/>
      <c r="D17" s="16"/>
      <c r="E17" s="18">
        <f>E16*12</f>
        <v>13.649999999999999</v>
      </c>
      <c r="F17" s="3"/>
    </row>
    <row r="18" spans="1:7" ht="12" customHeight="1">
      <c r="A18" s="3"/>
      <c r="B18" s="3"/>
      <c r="C18" s="3"/>
      <c r="D18" s="3"/>
      <c r="E18" s="3"/>
      <c r="F18" s="3"/>
    </row>
    <row r="19" spans="1:7" ht="12" customHeight="1">
      <c r="A19" s="3"/>
      <c r="B19" s="3"/>
      <c r="C19" s="3"/>
      <c r="D19" s="3"/>
      <c r="E19" s="3"/>
      <c r="F19" s="3"/>
    </row>
    <row r="20" spans="1:7" ht="12" customHeight="1">
      <c r="A20" s="31" t="s">
        <v>87</v>
      </c>
      <c r="B20" s="31"/>
      <c r="C20" s="31"/>
      <c r="D20" s="30"/>
      <c r="E20" s="30"/>
      <c r="F20" s="30"/>
      <c r="G20" s="29"/>
    </row>
    <row r="21" spans="1:7" ht="14.4">
      <c r="A21" s="31"/>
      <c r="B21" s="31"/>
      <c r="C21" s="31"/>
      <c r="D21" s="30"/>
      <c r="E21" s="30"/>
      <c r="F21" s="30"/>
    </row>
    <row r="22" spans="1:7" ht="14.4">
      <c r="A22" s="31" t="s">
        <v>88</v>
      </c>
      <c r="B22" s="31"/>
      <c r="C22" s="31"/>
      <c r="D22" s="30"/>
      <c r="E22" s="30"/>
      <c r="F22" s="30"/>
    </row>
  </sheetData>
  <mergeCells count="2">
    <mergeCell ref="A1:E1"/>
    <mergeCell ref="G2:J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workbookViewId="0">
      <selection activeCell="O7" sqref="O7"/>
    </sheetView>
  </sheetViews>
  <sheetFormatPr defaultRowHeight="13.8"/>
  <cols>
    <col min="1" max="1" width="31" customWidth="1"/>
    <col min="2" max="5" width="18" customWidth="1"/>
    <col min="6" max="6" width="29" customWidth="1"/>
    <col min="8" max="8" width="25" customWidth="1"/>
    <col min="9" max="9" width="13" customWidth="1"/>
    <col min="10" max="10" width="28" customWidth="1"/>
  </cols>
  <sheetData>
    <row r="1" spans="1:10" ht="15.3" customHeight="1">
      <c r="A1" s="28" t="s">
        <v>53</v>
      </c>
      <c r="B1" s="26"/>
      <c r="C1" s="26"/>
      <c r="D1" s="26"/>
      <c r="E1" s="26"/>
      <c r="F1" s="26"/>
    </row>
    <row r="2" spans="1:10" ht="12" customHeight="1">
      <c r="A2" s="3"/>
      <c r="B2" s="3"/>
      <c r="C2" s="3"/>
      <c r="D2" s="3"/>
      <c r="E2" s="3"/>
      <c r="F2" s="3"/>
      <c r="H2" s="27" t="s">
        <v>54</v>
      </c>
      <c r="I2" s="27"/>
      <c r="J2" s="27"/>
    </row>
    <row r="3" spans="1:10" ht="31.65" customHeight="1">
      <c r="A3" s="5" t="s">
        <v>55</v>
      </c>
      <c r="B3" s="5" t="s">
        <v>56</v>
      </c>
      <c r="C3" s="5" t="s">
        <v>57</v>
      </c>
      <c r="D3" s="5" t="s">
        <v>58</v>
      </c>
      <c r="E3" s="5" t="s">
        <v>50</v>
      </c>
      <c r="F3" s="5" t="s">
        <v>22</v>
      </c>
      <c r="H3" s="19" t="s">
        <v>55</v>
      </c>
      <c r="I3" s="19" t="s">
        <v>50</v>
      </c>
      <c r="J3" s="19" t="s">
        <v>59</v>
      </c>
    </row>
    <row r="4" spans="1:10" ht="21.15" customHeight="1">
      <c r="A4" s="3" t="s">
        <v>60</v>
      </c>
      <c r="B4" s="4">
        <f>TCO!E9</f>
        <v>4690000</v>
      </c>
      <c r="C4" s="4">
        <f>TCO!E12</f>
        <v>7200000</v>
      </c>
      <c r="D4" s="4">
        <f>C4-B4</f>
        <v>2510000</v>
      </c>
      <c r="E4" s="22">
        <f>D4/B4</f>
        <v>0.53518123667377404</v>
      </c>
      <c r="F4" s="3" t="s">
        <v>61</v>
      </c>
      <c r="H4" t="s">
        <v>60</v>
      </c>
      <c r="I4" s="23">
        <f>E4</f>
        <v>0.53518123667377404</v>
      </c>
      <c r="J4" t="s">
        <v>62</v>
      </c>
    </row>
    <row r="5" spans="1:10" ht="21.15" customHeight="1">
      <c r="A5" s="3" t="s">
        <v>63</v>
      </c>
      <c r="B5" s="4">
        <f>TCO!E9*(1+Жорамалдар!B12)</f>
        <v>6097000</v>
      </c>
      <c r="C5" s="4">
        <f>TCO!E12</f>
        <v>7200000</v>
      </c>
      <c r="D5" s="4">
        <f>C5-B5</f>
        <v>1103000</v>
      </c>
      <c r="E5" s="22">
        <f>D5/B5</f>
        <v>0.18090864359521075</v>
      </c>
      <c r="F5" s="3" t="s">
        <v>20</v>
      </c>
      <c r="H5" t="s">
        <v>63</v>
      </c>
      <c r="I5" s="23">
        <f>E5</f>
        <v>0.18090864359521075</v>
      </c>
      <c r="J5" t="s">
        <v>64</v>
      </c>
    </row>
    <row r="6" spans="1:10" ht="21.15" customHeight="1">
      <c r="A6" s="3" t="s">
        <v>65</v>
      </c>
      <c r="B6" s="4">
        <f>TCO!E9</f>
        <v>4690000</v>
      </c>
      <c r="C6" s="4">
        <f>TCO!E12*Жорамалдар!B13</f>
        <v>3600000</v>
      </c>
      <c r="D6" s="4">
        <f>C6-B6</f>
        <v>-1090000</v>
      </c>
      <c r="E6" s="22">
        <f>D6/B6</f>
        <v>-0.23240938166311301</v>
      </c>
      <c r="F6" s="3" t="s">
        <v>20</v>
      </c>
      <c r="H6" t="s">
        <v>66</v>
      </c>
      <c r="I6" s="23">
        <f>E6</f>
        <v>-0.23240938166311301</v>
      </c>
      <c r="J6" t="s">
        <v>67</v>
      </c>
    </row>
    <row r="7" spans="1:10" ht="42.15" customHeight="1">
      <c r="A7" s="3" t="s">
        <v>68</v>
      </c>
      <c r="B7" s="4">
        <f>TCO!E9*(1+Жорамалдар!B12)</f>
        <v>6097000</v>
      </c>
      <c r="C7" s="4">
        <f>TCO!E12*Жорамалдар!B13</f>
        <v>3600000</v>
      </c>
      <c r="D7" s="4">
        <f>C7-B7</f>
        <v>-2497000</v>
      </c>
      <c r="E7" s="22">
        <f>D7/B7</f>
        <v>-0.40954567820239463</v>
      </c>
      <c r="F7" s="3" t="s">
        <v>69</v>
      </c>
      <c r="H7" t="s">
        <v>70</v>
      </c>
      <c r="I7" s="23">
        <f>E7</f>
        <v>-0.40954567820239463</v>
      </c>
      <c r="J7" t="s">
        <v>71</v>
      </c>
    </row>
    <row r="8" spans="1:10" ht="12" customHeight="1">
      <c r="A8" s="3"/>
      <c r="B8" s="3"/>
      <c r="C8" s="3"/>
      <c r="D8" s="3"/>
      <c r="E8" s="3"/>
      <c r="F8" s="3"/>
    </row>
    <row r="9" spans="1:10" ht="12" customHeight="1">
      <c r="A9" s="3"/>
      <c r="B9" s="3"/>
      <c r="C9" s="3"/>
      <c r="D9" s="3"/>
      <c r="E9" s="3"/>
      <c r="F9" s="3"/>
    </row>
    <row r="10" spans="1:10" ht="12" customHeight="1">
      <c r="A10" s="3"/>
      <c r="B10" s="3"/>
      <c r="C10" s="3"/>
      <c r="D10" s="3"/>
      <c r="E10" s="3"/>
      <c r="F10" s="3"/>
    </row>
    <row r="11" spans="1:10" ht="12" customHeight="1">
      <c r="A11" s="3"/>
      <c r="B11" s="3"/>
      <c r="C11" s="3"/>
      <c r="D11" s="3"/>
      <c r="E11" s="3"/>
      <c r="F11" s="3"/>
    </row>
    <row r="12" spans="1:10" ht="12" customHeight="1">
      <c r="A12" s="3"/>
      <c r="B12" s="3"/>
      <c r="C12" s="3"/>
      <c r="D12" s="3"/>
      <c r="E12" s="3"/>
      <c r="F12" s="3"/>
    </row>
    <row r="13" spans="1:10" ht="12" customHeight="1">
      <c r="A13" s="3"/>
      <c r="B13" s="3"/>
      <c r="C13" s="3"/>
      <c r="D13" s="3"/>
      <c r="E13" s="3"/>
      <c r="F13" s="3"/>
    </row>
    <row r="14" spans="1:10" ht="12" customHeight="1">
      <c r="A14" s="3"/>
      <c r="B14" s="3"/>
      <c r="C14" s="3"/>
      <c r="D14" s="3"/>
      <c r="E14" s="3"/>
      <c r="F14" s="3"/>
    </row>
    <row r="15" spans="1:10" ht="12" customHeight="1">
      <c r="A15" s="3"/>
      <c r="B15" s="3"/>
      <c r="C15" s="3"/>
      <c r="D15" s="3"/>
      <c r="E15" s="3"/>
      <c r="F15" s="3"/>
    </row>
    <row r="16" spans="1:10" ht="12" customHeight="1">
      <c r="A16" s="3"/>
      <c r="B16" s="3"/>
      <c r="C16" s="3"/>
      <c r="D16" s="3"/>
      <c r="E16" s="3"/>
      <c r="F16" s="3"/>
    </row>
    <row r="17" spans="1:6" ht="12" customHeight="1">
      <c r="A17" s="3"/>
      <c r="B17" s="3"/>
      <c r="C17" s="3"/>
      <c r="D17" s="3"/>
      <c r="E17" s="3"/>
      <c r="F17" s="3"/>
    </row>
    <row r="18" spans="1:6" ht="12" customHeight="1">
      <c r="A18" s="3"/>
      <c r="B18" s="3"/>
      <c r="C18" s="3"/>
      <c r="D18" s="3"/>
      <c r="E18" s="3"/>
      <c r="F18" s="3"/>
    </row>
    <row r="19" spans="1:6" ht="12" customHeight="1">
      <c r="A19" s="3"/>
      <c r="B19" s="3"/>
      <c r="C19" s="3"/>
      <c r="D19" s="3"/>
      <c r="E19" s="3"/>
      <c r="F19" s="3"/>
    </row>
    <row r="20" spans="1:6" ht="12" customHeight="1">
      <c r="A20" s="3"/>
      <c r="B20" s="3"/>
      <c r="C20" s="3"/>
      <c r="D20" s="3"/>
      <c r="E20" s="3"/>
      <c r="F20" s="3"/>
    </row>
  </sheetData>
  <mergeCells count="2">
    <mergeCell ref="A1:F1"/>
    <mergeCell ref="H2:J2"/>
  </mergeCells>
  <conditionalFormatting sqref="E4:E7">
    <cfRule type="expression" dxfId="1" priority="1">
      <formula>E4&lt;0</formula>
    </cfRule>
    <cfRule type="expression" dxfId="0" priority="2">
      <formula>E4&gt;=0</formula>
    </cfRule>
  </conditionalFormatting>
  <pageMargins left="0.7" right="0.7" top="0.75" bottom="0.75" header="0.3" footer="0.3"/>
  <ignoredErrors>
    <ignoredError sqref="B5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tabSelected="1" topLeftCell="C5" workbookViewId="0">
      <selection activeCell="H4" sqref="H4"/>
    </sheetView>
  </sheetViews>
  <sheetFormatPr defaultRowHeight="13.8"/>
  <cols>
    <col min="1" max="1" width="26" customWidth="1"/>
    <col min="2" max="4" width="22" customWidth="1"/>
    <col min="5" max="5" width="42" customWidth="1"/>
    <col min="7" max="7" width="23" customWidth="1"/>
    <col min="8" max="8" width="18" customWidth="1"/>
    <col min="9" max="9" width="30" customWidth="1"/>
  </cols>
  <sheetData>
    <row r="1" spans="1:9" ht="46.05" customHeight="1">
      <c r="A1" s="28" t="s">
        <v>72</v>
      </c>
      <c r="B1" s="26"/>
      <c r="C1" s="26"/>
      <c r="D1" s="26"/>
      <c r="E1" s="26"/>
      <c r="F1" s="2"/>
    </row>
    <row r="2" spans="1:9" ht="12" customHeight="1">
      <c r="A2" s="3"/>
      <c r="B2" s="3"/>
      <c r="C2" s="3"/>
      <c r="D2" s="3"/>
      <c r="E2" s="3"/>
      <c r="F2" s="3"/>
      <c r="G2" s="27" t="s">
        <v>73</v>
      </c>
      <c r="H2" s="27"/>
      <c r="I2" s="27"/>
    </row>
    <row r="3" spans="1:9" ht="42.15" customHeight="1">
      <c r="A3" s="5" t="s">
        <v>28</v>
      </c>
      <c r="B3" s="5" t="s">
        <v>74</v>
      </c>
      <c r="C3" s="5" t="s">
        <v>75</v>
      </c>
      <c r="D3" s="5" t="s">
        <v>76</v>
      </c>
      <c r="E3" s="5" t="s">
        <v>77</v>
      </c>
      <c r="F3" s="3"/>
      <c r="G3" s="19" t="s">
        <v>1</v>
      </c>
      <c r="H3" s="19" t="s">
        <v>2</v>
      </c>
      <c r="I3" s="19" t="s">
        <v>77</v>
      </c>
    </row>
    <row r="4" spans="1:9" ht="52.8" customHeight="1">
      <c r="A4" s="3" t="s">
        <v>34</v>
      </c>
      <c r="B4" s="4">
        <f>TCO!E4</f>
        <v>1800000</v>
      </c>
      <c r="C4" s="4">
        <f>TCO!E4</f>
        <v>1800000</v>
      </c>
      <c r="D4" s="4">
        <f>B4-C4</f>
        <v>0</v>
      </c>
      <c r="E4" s="3" t="s">
        <v>78</v>
      </c>
      <c r="F4" s="3"/>
      <c r="G4" t="s">
        <v>79</v>
      </c>
      <c r="H4" s="1">
        <f>B9</f>
        <v>4690000</v>
      </c>
      <c r="I4" t="s">
        <v>46</v>
      </c>
    </row>
    <row r="5" spans="1:9" ht="52.8" customHeight="1">
      <c r="A5" s="3" t="s">
        <v>36</v>
      </c>
      <c r="B5" s="4">
        <f>TCO!E5</f>
        <v>1080000</v>
      </c>
      <c r="C5" s="4">
        <f>TCO!E5</f>
        <v>1080000</v>
      </c>
      <c r="D5" s="4">
        <f>B5-C5</f>
        <v>0</v>
      </c>
      <c r="E5" s="3" t="s">
        <v>80</v>
      </c>
      <c r="F5" s="3"/>
      <c r="G5" t="s">
        <v>81</v>
      </c>
      <c r="H5" s="1">
        <f>C9</f>
        <v>4330000</v>
      </c>
      <c r="I5" t="s">
        <v>46</v>
      </c>
    </row>
    <row r="6" spans="1:9" ht="42.15" customHeight="1">
      <c r="A6" s="3" t="s">
        <v>38</v>
      </c>
      <c r="B6" s="4">
        <f>TCO!E6</f>
        <v>360000</v>
      </c>
      <c r="C6" s="4">
        <f>0</f>
        <v>0</v>
      </c>
      <c r="D6" s="4">
        <f>B6-C6</f>
        <v>360000</v>
      </c>
      <c r="E6" s="3" t="s">
        <v>82</v>
      </c>
      <c r="F6" s="3"/>
      <c r="G6" t="s">
        <v>83</v>
      </c>
      <c r="H6" s="1">
        <f>D9</f>
        <v>360000</v>
      </c>
      <c r="I6" t="s">
        <v>84</v>
      </c>
    </row>
    <row r="7" spans="1:9" ht="42.15" customHeight="1">
      <c r="A7" s="3" t="s">
        <v>40</v>
      </c>
      <c r="B7" s="4">
        <f>TCO!E7</f>
        <v>1200000</v>
      </c>
      <c r="C7" s="4">
        <f>TCO!E7</f>
        <v>1200000</v>
      </c>
      <c r="D7" s="4">
        <f>B7-C7</f>
        <v>0</v>
      </c>
      <c r="E7" s="3" t="s">
        <v>85</v>
      </c>
      <c r="F7" s="3"/>
    </row>
    <row r="8" spans="1:9" ht="42.15" customHeight="1">
      <c r="A8" s="3" t="s">
        <v>41</v>
      </c>
      <c r="B8" s="4">
        <f>TCO!E8</f>
        <v>250000</v>
      </c>
      <c r="C8" s="4">
        <f>TCO!E8</f>
        <v>250000</v>
      </c>
      <c r="D8" s="4">
        <f>B8-C8</f>
        <v>0</v>
      </c>
      <c r="E8" s="3" t="s">
        <v>86</v>
      </c>
      <c r="F8" s="3"/>
    </row>
    <row r="9" spans="1:9" ht="12" customHeight="1">
      <c r="A9" s="10" t="s">
        <v>42</v>
      </c>
      <c r="B9" s="24">
        <f>SUM(B4:B8)</f>
        <v>4690000</v>
      </c>
      <c r="C9" s="24">
        <f>SUM(C4:C8)</f>
        <v>4330000</v>
      </c>
      <c r="D9" s="24">
        <f>SUM(D4:D8)</f>
        <v>360000</v>
      </c>
      <c r="E9" s="10"/>
      <c r="F9" s="3"/>
    </row>
    <row r="10" spans="1:9" ht="12" customHeight="1">
      <c r="A10" s="3"/>
      <c r="B10" s="3"/>
      <c r="C10" s="3"/>
      <c r="D10" s="3"/>
      <c r="E10" s="3"/>
      <c r="F10" s="3"/>
    </row>
    <row r="11" spans="1:9" ht="12" customHeight="1">
      <c r="A11" s="3"/>
      <c r="B11" s="3"/>
      <c r="C11" s="3"/>
      <c r="D11" s="3"/>
      <c r="E11" s="3"/>
      <c r="F11" s="3"/>
    </row>
    <row r="12" spans="1:9" ht="12" customHeight="1">
      <c r="A12" s="3"/>
      <c r="B12" s="3"/>
      <c r="C12" s="3"/>
      <c r="D12" s="3"/>
      <c r="E12" s="3"/>
      <c r="F12" s="3"/>
    </row>
    <row r="13" spans="1:9" ht="12" customHeight="1">
      <c r="A13" s="3"/>
      <c r="B13" s="3"/>
      <c r="C13" s="3"/>
      <c r="D13" s="3"/>
      <c r="E13" s="3"/>
      <c r="F13" s="3"/>
    </row>
    <row r="14" spans="1:9" ht="12" customHeight="1">
      <c r="A14" s="3"/>
      <c r="B14" s="3"/>
      <c r="C14" s="3"/>
      <c r="D14" s="3"/>
      <c r="E14" s="3"/>
      <c r="F14" s="3"/>
    </row>
    <row r="15" spans="1:9" ht="12" customHeight="1">
      <c r="A15" s="3"/>
      <c r="B15" s="3"/>
      <c r="C15" s="3"/>
      <c r="D15" s="3"/>
      <c r="E15" s="3"/>
      <c r="F15" s="3"/>
    </row>
    <row r="16" spans="1:9" ht="12" customHeight="1">
      <c r="A16" s="3"/>
      <c r="B16" s="3"/>
      <c r="C16" s="3"/>
      <c r="D16" s="3"/>
      <c r="E16" s="3"/>
      <c r="F16" s="3"/>
    </row>
    <row r="17" spans="1:6" ht="12" customHeight="1">
      <c r="A17" s="3"/>
      <c r="B17" s="3"/>
      <c r="C17" s="3"/>
      <c r="D17" s="3"/>
      <c r="E17" s="3"/>
      <c r="F17" s="3"/>
    </row>
    <row r="18" spans="1:6" ht="12" customHeight="1">
      <c r="A18" s="3"/>
      <c r="B18" s="3"/>
      <c r="C18" s="3"/>
      <c r="D18" s="3"/>
      <c r="E18" s="3"/>
      <c r="F18" s="3"/>
    </row>
    <row r="19" spans="1:6" ht="12" customHeight="1">
      <c r="A19" s="3"/>
      <c r="B19" s="3"/>
      <c r="C19" s="3"/>
      <c r="D19" s="3"/>
      <c r="E19" s="3"/>
      <c r="F19" s="3"/>
    </row>
    <row r="20" spans="1:6" ht="12" customHeight="1">
      <c r="A20" s="3"/>
      <c r="B20" s="3"/>
      <c r="C20" s="3"/>
      <c r="D20" s="3"/>
      <c r="E20" s="3"/>
      <c r="F20" s="3"/>
    </row>
  </sheetData>
  <mergeCells count="2">
    <mergeCell ref="A1:E1"/>
    <mergeCell ref="G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Жорамалдар</vt:lpstr>
      <vt:lpstr>TCO</vt:lpstr>
      <vt:lpstr>Сезімталдық</vt:lpstr>
      <vt:lpstr>Open 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eras1wxw .</dc:creator>
  <cp:lastModifiedBy>eras1wxw .</cp:lastModifiedBy>
  <dcterms:created xsi:type="dcterms:W3CDTF">2026-09-24T11:56:37Z</dcterms:created>
  <dcterms:modified xsi:type="dcterms:W3CDTF">2026-09-24T11:56:37Z</dcterms:modified>
</cp:coreProperties>
</file>