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Yerassil\Desktop\gadgetstore-main\output\lab9\"/>
    </mc:Choice>
  </mc:AlternateContent>
  <xr:revisionPtr revIDLastSave="0" documentId="13_ncr:1_{3B546CF4-4496-482F-982B-FFF5D86AFC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Шолу" sheetId="1" r:id="rId1"/>
    <sheet name="Тақта" sheetId="2" r:id="rId2"/>
    <sheet name="Метрикалар" sheetId="3" r:id="rId3"/>
    <sheet name="Процесс хартиясы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C6" i="3"/>
  <c r="D6" i="3" s="1"/>
  <c r="B6" i="3"/>
  <c r="C5" i="3"/>
  <c r="B5" i="3"/>
  <c r="E6" i="1" s="1"/>
  <c r="C4" i="3"/>
  <c r="B4" i="3"/>
  <c r="E4" i="1" s="1"/>
  <c r="K12" i="2"/>
  <c r="K11" i="2"/>
  <c r="K10" i="2"/>
  <c r="K9" i="2"/>
  <c r="K8" i="2"/>
  <c r="K7" i="2"/>
  <c r="K6" i="2"/>
  <c r="K5" i="2"/>
  <c r="K4" i="2"/>
  <c r="D5" i="3" l="1"/>
  <c r="E7" i="1"/>
  <c r="D4" i="3"/>
  <c r="E5" i="1"/>
</calcChain>
</file>

<file path=xl/sharedStrings.xml><?xml version="1.0" encoding="utf-8"?>
<sst xmlns="http://schemas.openxmlformats.org/spreadsheetml/2006/main" count="186" uniqueCount="141">
  <si>
    <t>GadgetStore: 9-апта - flow-based delivery</t>
  </si>
  <si>
    <t>Орындаушы</t>
  </si>
  <si>
    <t>Зулпыхаров Ерасыл</t>
  </si>
  <si>
    <t>Нәтиже</t>
  </si>
  <si>
    <t>Мән</t>
  </si>
  <si>
    <t>Топ</t>
  </si>
  <si>
    <t>АЖ-43</t>
  </si>
  <si>
    <t>Sprint 1 throughput</t>
  </si>
  <si>
    <t>Күні</t>
  </si>
  <si>
    <t>29.10.2026</t>
  </si>
  <si>
    <t>Sprint 2 throughput</t>
  </si>
  <si>
    <t>Формат</t>
  </si>
  <si>
    <t>Оқу симуляциясы</t>
  </si>
  <si>
    <t>Cycle time: Sprint 1</t>
  </si>
  <si>
    <t>Жоба</t>
  </si>
  <si>
    <t>GadgetStore</t>
  </si>
  <si>
    <t>Cycle time: Sprint 2</t>
  </si>
  <si>
    <t>Ауқым</t>
  </si>
  <si>
    <t>Екі спринттік Kanban ағыны</t>
  </si>
  <si>
    <t>Sprint 2 әрекеті</t>
  </si>
  <si>
    <t>Doing WIP=2, Review WIP=2</t>
  </si>
  <si>
    <t>Sprint 1 review және ретроспектива</t>
  </si>
  <si>
    <t>Бақылау</t>
  </si>
  <si>
    <t>Түбір себеп</t>
  </si>
  <si>
    <t>Өлшеу</t>
  </si>
  <si>
    <t>Doing WIP</t>
  </si>
  <si>
    <t>3 item / лимит 2</t>
  </si>
  <si>
    <t>Жаңа item Review босамай тұрып басталды</t>
  </si>
  <si>
    <t>Doing WIP=2; pull алдында бағанды тексеру</t>
  </si>
  <si>
    <t>Күнделікті CFD</t>
  </si>
  <si>
    <t>Cycle time</t>
  </si>
  <si>
    <t>Орташа 3.0 күн; p85=5</t>
  </si>
  <si>
    <t>Құжат пен тест бір кезекте жиналды</t>
  </si>
  <si>
    <t>DoR және бөлек acceptance criterion</t>
  </si>
  <si>
    <t>Review</t>
  </si>
  <si>
    <t>Кезек айқын емес</t>
  </si>
  <si>
    <t>Тексеру иесі/дәлелі көрсетілмеді</t>
  </si>
  <si>
    <t>Review WIP=2 және DoD-ге дәлел сілтемесі</t>
  </si>
  <si>
    <t>Review age</t>
  </si>
  <si>
    <t>Бір әрекет</t>
  </si>
  <si>
    <t>WIP тәртібі</t>
  </si>
  <si>
    <t>Ең үлкен тар жер Doing болды</t>
  </si>
  <si>
    <t>Күн сайын WIP бұзылысын талқылау</t>
  </si>
  <si>
    <t>0 бұзылыс</t>
  </si>
  <si>
    <t>Sprint 2 review: 5 item аяқталды; Doing WIP бұзылысы 0; орташа cycle time 1.8 күн. Өзгеріс WIP-ті шектеуден және нақты Ready/Done шарттарынан шықты. Бұл нәтиже оқу симуляциясының журналынан есептелген, нақты өндірістік көрсеткіш емес.</t>
  </si>
  <si>
    <t>GadgetStore: екі спринттік Kanban тақтасы</t>
  </si>
  <si>
    <t>ID</t>
  </si>
  <si>
    <t>Спринт</t>
  </si>
  <si>
    <t>Тарихша</t>
  </si>
  <si>
    <t>Ready</t>
  </si>
  <si>
    <t>DoR</t>
  </si>
  <si>
    <t>Doing</t>
  </si>
  <si>
    <t>Done</t>
  </si>
  <si>
    <t>Күйі</t>
  </si>
  <si>
    <t>Қабылдау/ескерту</t>
  </si>
  <si>
    <t>Cycle day</t>
  </si>
  <si>
    <t>GS-01</t>
  </si>
  <si>
    <t>Sprint 1</t>
  </si>
  <si>
    <t>Каталог деректерін тексеру</t>
  </si>
  <si>
    <t>Иә</t>
  </si>
  <si>
    <t>12+ тауар және ID бірегей</t>
  </si>
  <si>
    <t>GS-02</t>
  </si>
  <si>
    <t>Тапсырыс серверлік тексеру</t>
  </si>
  <si>
    <t>Жалған total қабылданбайды</t>
  </si>
  <si>
    <t>GS-03</t>
  </si>
  <si>
    <t>API регрессия тесті</t>
  </si>
  <si>
    <t>Тесттер өтті</t>
  </si>
  <si>
    <t>GS-04</t>
  </si>
  <si>
    <t>Іске қосу нұсқаулығы</t>
  </si>
  <si>
    <t>README жаңартылды</t>
  </si>
  <si>
    <t>GS-05</t>
  </si>
  <si>
    <t>Sprint 2</t>
  </si>
  <si>
    <t>Профиль деректерін азайту</t>
  </si>
  <si>
    <t>Карта өрістері жойылды - симуляция</t>
  </si>
  <si>
    <t>GS-06</t>
  </si>
  <si>
    <t>Тапсырыс API лимиті</t>
  </si>
  <si>
    <t>6-шы сұрау 429 - симуляция</t>
  </si>
  <si>
    <t>GS-07</t>
  </si>
  <si>
    <t>Backup restore тексеру</t>
  </si>
  <si>
    <t>Restore ≤30 мин - симуляция</t>
  </si>
  <si>
    <t>GS-08</t>
  </si>
  <si>
    <t>Құжатты жаңарту</t>
  </si>
  <si>
    <t>README және дәлел сілтемесі</t>
  </si>
  <si>
    <t>GS-09</t>
  </si>
  <si>
    <t>Бюджет драйверлерін есептеу</t>
  </si>
  <si>
    <t>Break-even формуласы</t>
  </si>
  <si>
    <t>Күй ауысуының мағынасы: Ready → Doing → Review → Done. Барлық күндер оқу симуляциясының оқиғалар журналы; метрикалар осы журналдан есептеледі.</t>
  </si>
  <si>
    <t>GadgetStore: flow-метрикалар және CFD</t>
  </si>
  <si>
    <t>Метрика</t>
  </si>
  <si>
    <t>Өзгеріс</t>
  </si>
  <si>
    <t>Түсіндірме</t>
  </si>
  <si>
    <t>Throughput (Done item)</t>
  </si>
  <si>
    <t>Аптада аяқталған item саны</t>
  </si>
  <si>
    <t>Орташа cycle time, күн</t>
  </si>
  <si>
    <t>Doing→Done аралығы</t>
  </si>
  <si>
    <t>P85 cycle time, күн</t>
  </si>
  <si>
    <t>Кіші sample үшін ең ұзақ cycle time - консервативті p85</t>
  </si>
  <si>
    <t>Doing WIP шегін бұзу</t>
  </si>
  <si>
    <t>1 күн</t>
  </si>
  <si>
    <t>0 күн</t>
  </si>
  <si>
    <t>-1 күн</t>
  </si>
  <si>
    <t>Sprint 1-де 15-Oct 3 Doing item болды; Sprint 2-де Doing ≤2.</t>
  </si>
  <si>
    <t>Күн</t>
  </si>
  <si>
    <t>CFD оқу</t>
  </si>
  <si>
    <t>Әлі басталмаған item</t>
  </si>
  <si>
    <t>Белсенді жұмыс</t>
  </si>
  <si>
    <t>Тексеру кезегі</t>
  </si>
  <si>
    <t>Аяқталған item</t>
  </si>
  <si>
    <t>Қорытынды: throughput 4-тен 5-ке өсті; орташа cycle time 3.0-ден 1.8 күнге, консервативті p85 5-тен 2 күнге азайды. Себеп: Doing WIP-ті 2-де ұстау, DoR нақтылау және Review лимитін 2-ге өзгерту.</t>
  </si>
  <si>
    <t>GadgetStore: Kanban процесс хартиясы</t>
  </si>
  <si>
    <t>Элемент</t>
  </si>
  <si>
    <t>Ереже / түсіндірме</t>
  </si>
  <si>
    <t>Бағандар</t>
  </si>
  <si>
    <t>Ready, Doing, Review, Done</t>
  </si>
  <si>
    <t>Барлық жұмыс солдан оңға тартылады; Done қайта ашылса жаңа оқиға жазылады.</t>
  </si>
  <si>
    <t>WIP: Doing</t>
  </si>
  <si>
    <t>2</t>
  </si>
  <si>
    <t>Sprint 1-де 15-Oct күні 3 item болды: лимит бұзылды. Sprint 2-де 2-ден аспау талабы қолданылды.</t>
  </si>
  <si>
    <t>WIP: Review</t>
  </si>
  <si>
    <t>1</t>
  </si>
  <si>
    <t>Ретроспективадан кейін Review лимиті 2-ге өзгерді: екі тәуелсіз тексеру қатар өте алады.</t>
  </si>
  <si>
    <t>Pull саясаты</t>
  </si>
  <si>
    <t>Doing босаса Ready-ден ең жоғары басым item тартылады</t>
  </si>
  <si>
    <t>Сол ереже + DoR тексеріледі</t>
  </si>
  <si>
    <t>Итеру жоқ: WIP лимиті толса жаңа item басталмайды.</t>
  </si>
  <si>
    <t>Definition of Ready</t>
  </si>
  <si>
    <t>Тақырып және қысқа нәтиже бар</t>
  </si>
  <si>
    <t>Мақсат, acceptance criterion, тәуелділік, өлшеу бар</t>
  </si>
  <si>
    <t>Ready-де осы төрт белгі жоқ item Doing-ке өтпейді.</t>
  </si>
  <si>
    <t>Definition of Done</t>
  </si>
  <si>
    <t>Код/құжат бар</t>
  </si>
  <si>
    <t>Код/құжат + acceptance + тест/дәлел сілтемесі</t>
  </si>
  <si>
    <t>Review аяқталып, дәлел тіркелгенде ғана Done.</t>
  </si>
  <si>
    <t>Қызмет класы</t>
  </si>
  <si>
    <t>Standard</t>
  </si>
  <si>
    <t>Standard; Expedite тек blocker үшін</t>
  </si>
  <si>
    <t>Expedite бірден көп емес және WIP-тен тыс емес.</t>
  </si>
  <si>
    <t>Cadence</t>
  </si>
  <si>
    <t>Күнделікті қысқа шолу; апталық review/retro</t>
  </si>
  <si>
    <t>Өлшеу күндері журналға жазылады.</t>
  </si>
  <si>
    <t>Sprint 1 мақсаты: каталог пен тапсырыс сценарийінің негізін тексеру. Sprint 2 мақсаты: WIP-ті тұрақтандырып, Review кезегін шектеу арқылы cycle time-ды азайту.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</si>
</sst>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color rgb="FF263442"/>
      <name val="Arial"/>
    </font>
    <font>
      <i/>
      <sz val="10"/>
      <color rgb="FF263442"/>
      <name val="Arial"/>
    </font>
    <font>
      <b/>
      <sz val="10"/>
      <color rgb="FF263442"/>
      <name val="Arial"/>
    </font>
    <font>
      <sz val="11"/>
      <name val="Carlito"/>
    </font>
    <font>
      <sz val="11"/>
      <color rgb="FF9C57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5" borderId="0" applyNumberFormat="0" applyBorder="0" applyAlignment="0" applyProtection="0"/>
  </cellStyleXfs>
  <cellXfs count="10">
    <xf numFmtId="0" fontId="0" fillId="0" borderId="0" xfId="0"/>
    <xf numFmtId="0" fontId="1" fillId="0" borderId="0" xfId="1" applyFont="1"/>
    <xf numFmtId="0" fontId="3" fillId="4" borderId="0" xfId="1" applyFont="1" applyFill="1" applyAlignment="1">
      <alignment wrapText="1"/>
    </xf>
    <xf numFmtId="0" fontId="2" fillId="2" borderId="0" xfId="1" applyFont="1" applyFill="1" applyAlignment="1">
      <alignment wrapText="1"/>
    </xf>
    <xf numFmtId="0" fontId="3" fillId="3" borderId="0" xfId="1" applyFont="1" applyFill="1" applyAlignment="1">
      <alignment wrapText="1"/>
    </xf>
    <xf numFmtId="0" fontId="0" fillId="0" borderId="1" xfId="0" applyBorder="1"/>
    <xf numFmtId="0" fontId="1" fillId="0" borderId="1" xfId="1" applyFont="1" applyBorder="1"/>
    <xf numFmtId="0" fontId="0" fillId="0" borderId="0" xfId="0"/>
    <xf numFmtId="0" fontId="0" fillId="0" borderId="1" xfId="0" applyBorder="1"/>
    <xf numFmtId="0" fontId="5" fillId="5" borderId="1" xfId="2" applyBorder="1"/>
  </cellXfs>
  <cellStyles count="3">
    <cellStyle name="Normal" xfId="1" xr:uid="{00000000-0005-0000-0000-000000000000}"/>
    <cellStyle name="Нейтральный" xfId="2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"/>
  <sheetViews>
    <sheetView showGridLines="0" tabSelected="1" workbookViewId="0">
      <pane ySplit="1" topLeftCell="A2" activePane="bottomLeft" state="frozen"/>
      <selection pane="bottomLeft" activeCell="H9" sqref="H9"/>
    </sheetView>
  </sheetViews>
  <sheetFormatPr defaultRowHeight="13.8"/>
  <cols>
    <col min="1" max="1" width="28" customWidth="1"/>
    <col min="2" max="4" width="18" customWidth="1"/>
    <col min="5" max="5" width="40" customWidth="1"/>
  </cols>
  <sheetData>
    <row r="1" spans="1:26" ht="19.2" customHeight="1">
      <c r="A1" s="7" t="s">
        <v>0</v>
      </c>
      <c r="B1" s="7"/>
      <c r="C1" s="7"/>
      <c r="D1" s="7"/>
      <c r="E1" s="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5" t="s">
        <v>1</v>
      </c>
      <c r="B3" s="5" t="s">
        <v>2</v>
      </c>
      <c r="C3" s="6"/>
      <c r="D3" s="5" t="s">
        <v>3</v>
      </c>
      <c r="E3" s="5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5" t="s">
        <v>5</v>
      </c>
      <c r="B4" s="5" t="s">
        <v>6</v>
      </c>
      <c r="C4" s="6"/>
      <c r="D4" s="5" t="s">
        <v>7</v>
      </c>
      <c r="E4" s="5">
        <f>Метрикалар!B4</f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5" t="s">
        <v>8</v>
      </c>
      <c r="B5" s="5" t="s">
        <v>9</v>
      </c>
      <c r="C5" s="6"/>
      <c r="D5" s="5" t="s">
        <v>10</v>
      </c>
      <c r="E5" s="5">
        <f>Метрикалар!C4</f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5" t="s">
        <v>11</v>
      </c>
      <c r="B6" s="5" t="s">
        <v>12</v>
      </c>
      <c r="C6" s="6"/>
      <c r="D6" s="5" t="s">
        <v>13</v>
      </c>
      <c r="E6" s="5">
        <f>Метрикалар!B5</f>
        <v>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5" t="s">
        <v>14</v>
      </c>
      <c r="B7" s="5" t="s">
        <v>15</v>
      </c>
      <c r="C7" s="6"/>
      <c r="D7" s="5" t="s">
        <v>16</v>
      </c>
      <c r="E7" s="5">
        <f>Метрикалар!C5</f>
        <v>1.8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 customHeight="1">
      <c r="A8" s="5" t="s">
        <v>17</v>
      </c>
      <c r="B8" s="5" t="s">
        <v>18</v>
      </c>
      <c r="C8" s="6"/>
      <c r="D8" s="5" t="s">
        <v>19</v>
      </c>
      <c r="E8" s="5" t="s">
        <v>20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8" t="s">
        <v>21</v>
      </c>
      <c r="B10" s="8"/>
      <c r="C10" s="8"/>
      <c r="D10" s="8"/>
      <c r="E10" s="8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5" t="s">
        <v>22</v>
      </c>
      <c r="B11" s="5" t="s">
        <v>3</v>
      </c>
      <c r="C11" s="5" t="s">
        <v>23</v>
      </c>
      <c r="D11" s="5" t="s">
        <v>19</v>
      </c>
      <c r="E11" s="5" t="s">
        <v>24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6" customHeight="1">
      <c r="A12" s="5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" customHeight="1">
      <c r="A13" s="5" t="s">
        <v>30</v>
      </c>
      <c r="B13" s="5" t="s">
        <v>31</v>
      </c>
      <c r="C13" s="5" t="s">
        <v>32</v>
      </c>
      <c r="D13" s="5" t="s">
        <v>33</v>
      </c>
      <c r="E13" s="5" t="s">
        <v>30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6" customHeight="1">
      <c r="A14" s="5" t="s">
        <v>34</v>
      </c>
      <c r="B14" s="5" t="s">
        <v>35</v>
      </c>
      <c r="C14" s="5" t="s">
        <v>36</v>
      </c>
      <c r="D14" s="5" t="s">
        <v>37</v>
      </c>
      <c r="E14" s="5" t="s">
        <v>38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" customHeight="1">
      <c r="A15" s="5" t="s">
        <v>39</v>
      </c>
      <c r="B15" s="5" t="s">
        <v>40</v>
      </c>
      <c r="C15" s="5" t="s">
        <v>41</v>
      </c>
      <c r="D15" s="5" t="s">
        <v>42</v>
      </c>
      <c r="E15" s="5" t="s">
        <v>43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5"/>
      <c r="B16" s="5"/>
      <c r="C16" s="5"/>
      <c r="D16" s="5"/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" customHeight="1">
      <c r="A17" s="9" t="s">
        <v>44</v>
      </c>
      <c r="B17" s="9"/>
      <c r="C17" s="9"/>
      <c r="D17" s="9"/>
      <c r="E17" s="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</sheetData>
  <mergeCells count="3">
    <mergeCell ref="A1:E1"/>
    <mergeCell ref="A10:E10"/>
    <mergeCell ref="A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0"/>
  <sheetViews>
    <sheetView showGridLines="0" workbookViewId="0">
      <pane ySplit="3" topLeftCell="A4" activePane="bottomLeft" state="frozen"/>
      <selection pane="bottomLeft" activeCell="A15" sqref="A15:K15"/>
    </sheetView>
  </sheetViews>
  <sheetFormatPr defaultRowHeight="13.8"/>
  <cols>
    <col min="1" max="1" width="11" customWidth="1"/>
    <col min="2" max="2" width="14" customWidth="1"/>
    <col min="3" max="3" width="24" customWidth="1"/>
    <col min="4" max="4" width="13" customWidth="1"/>
    <col min="5" max="5" width="14" customWidth="1"/>
    <col min="6" max="8" width="13" customWidth="1"/>
    <col min="9" max="9" width="14" customWidth="1"/>
    <col min="10" max="10" width="28" customWidth="1"/>
    <col min="11" max="11" width="12" customWidth="1"/>
  </cols>
  <sheetData>
    <row r="1" spans="1:26" ht="19.2" customHeight="1">
      <c r="A1" s="7" t="s">
        <v>45</v>
      </c>
      <c r="B1" s="7"/>
      <c r="C1" s="7"/>
      <c r="D1" s="7"/>
      <c r="E1" s="7"/>
      <c r="F1" s="7"/>
      <c r="G1" s="7"/>
      <c r="H1" s="7"/>
      <c r="I1" s="7"/>
      <c r="J1" s="7"/>
      <c r="K1" s="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5" t="s">
        <v>46</v>
      </c>
      <c r="B3" s="5" t="s">
        <v>47</v>
      </c>
      <c r="C3" s="5" t="s">
        <v>48</v>
      </c>
      <c r="D3" s="5" t="s">
        <v>49</v>
      </c>
      <c r="E3" s="5" t="s">
        <v>50</v>
      </c>
      <c r="F3" s="5" t="s">
        <v>51</v>
      </c>
      <c r="G3" s="5" t="s">
        <v>34</v>
      </c>
      <c r="H3" s="5" t="s">
        <v>52</v>
      </c>
      <c r="I3" s="5" t="s">
        <v>53</v>
      </c>
      <c r="J3" s="5" t="s">
        <v>54</v>
      </c>
      <c r="K3" s="5" t="s">
        <v>55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5" t="s">
        <v>56</v>
      </c>
      <c r="B4" s="5" t="s">
        <v>57</v>
      </c>
      <c r="C4" s="5" t="s">
        <v>58</v>
      </c>
      <c r="D4" s="5">
        <v>46308</v>
      </c>
      <c r="E4" s="5" t="s">
        <v>59</v>
      </c>
      <c r="F4" s="5">
        <v>46308</v>
      </c>
      <c r="G4" s="5">
        <v>46309</v>
      </c>
      <c r="H4" s="5">
        <v>46309</v>
      </c>
      <c r="I4" s="5" t="s">
        <v>52</v>
      </c>
      <c r="J4" s="5" t="s">
        <v>60</v>
      </c>
      <c r="K4" s="5">
        <f t="shared" ref="K4:K12" si="0">H4-F4</f>
        <v>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5" t="s">
        <v>61</v>
      </c>
      <c r="B5" s="5" t="s">
        <v>57</v>
      </c>
      <c r="C5" s="5" t="s">
        <v>62</v>
      </c>
      <c r="D5" s="5">
        <v>46308</v>
      </c>
      <c r="E5" s="5" t="s">
        <v>59</v>
      </c>
      <c r="F5" s="5">
        <v>46309</v>
      </c>
      <c r="G5" s="5">
        <v>46311</v>
      </c>
      <c r="H5" s="5">
        <v>46312</v>
      </c>
      <c r="I5" s="5" t="s">
        <v>52</v>
      </c>
      <c r="J5" s="5" t="s">
        <v>63</v>
      </c>
      <c r="K5" s="5">
        <f t="shared" si="0"/>
        <v>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5" t="s">
        <v>64</v>
      </c>
      <c r="B6" s="5" t="s">
        <v>57</v>
      </c>
      <c r="C6" s="5" t="s">
        <v>65</v>
      </c>
      <c r="D6" s="5">
        <v>46308</v>
      </c>
      <c r="E6" s="5" t="s">
        <v>59</v>
      </c>
      <c r="F6" s="5">
        <v>46310</v>
      </c>
      <c r="G6" s="5">
        <v>46312</v>
      </c>
      <c r="H6" s="5">
        <v>46313</v>
      </c>
      <c r="I6" s="5" t="s">
        <v>52</v>
      </c>
      <c r="J6" s="5" t="s">
        <v>66</v>
      </c>
      <c r="K6" s="5">
        <f t="shared" si="0"/>
        <v>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5" t="s">
        <v>67</v>
      </c>
      <c r="B7" s="5" t="s">
        <v>57</v>
      </c>
      <c r="C7" s="5" t="s">
        <v>68</v>
      </c>
      <c r="D7" s="5">
        <v>46308</v>
      </c>
      <c r="E7" s="5" t="s">
        <v>59</v>
      </c>
      <c r="F7" s="5">
        <v>46309</v>
      </c>
      <c r="G7" s="5">
        <v>46313</v>
      </c>
      <c r="H7" s="5">
        <v>46314</v>
      </c>
      <c r="I7" s="5" t="s">
        <v>52</v>
      </c>
      <c r="J7" s="5" t="s">
        <v>69</v>
      </c>
      <c r="K7" s="5">
        <f t="shared" si="0"/>
        <v>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 customHeight="1">
      <c r="A8" s="5" t="s">
        <v>70</v>
      </c>
      <c r="B8" s="5" t="s">
        <v>71</v>
      </c>
      <c r="C8" s="5" t="s">
        <v>72</v>
      </c>
      <c r="D8" s="5">
        <v>46315</v>
      </c>
      <c r="E8" s="5" t="s">
        <v>59</v>
      </c>
      <c r="F8" s="5">
        <v>46315</v>
      </c>
      <c r="G8" s="5">
        <v>46316</v>
      </c>
      <c r="H8" s="5">
        <v>46316</v>
      </c>
      <c r="I8" s="5" t="s">
        <v>52</v>
      </c>
      <c r="J8" s="5" t="s">
        <v>73</v>
      </c>
      <c r="K8" s="5">
        <f t="shared" si="0"/>
        <v>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5" t="s">
        <v>74</v>
      </c>
      <c r="B9" s="5" t="s">
        <v>71</v>
      </c>
      <c r="C9" s="5" t="s">
        <v>75</v>
      </c>
      <c r="D9" s="5">
        <v>46315</v>
      </c>
      <c r="E9" s="5" t="s">
        <v>59</v>
      </c>
      <c r="F9" s="5">
        <v>46316</v>
      </c>
      <c r="G9" s="5">
        <v>46317</v>
      </c>
      <c r="H9" s="5">
        <v>46318</v>
      </c>
      <c r="I9" s="5" t="s">
        <v>52</v>
      </c>
      <c r="J9" s="5" t="s">
        <v>76</v>
      </c>
      <c r="K9" s="5">
        <f t="shared" si="0"/>
        <v>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5" t="s">
        <v>77</v>
      </c>
      <c r="B10" s="5" t="s">
        <v>71</v>
      </c>
      <c r="C10" s="5" t="s">
        <v>78</v>
      </c>
      <c r="D10" s="5">
        <v>46315</v>
      </c>
      <c r="E10" s="5" t="s">
        <v>59</v>
      </c>
      <c r="F10" s="5">
        <v>46316</v>
      </c>
      <c r="G10" s="5">
        <v>46317</v>
      </c>
      <c r="H10" s="5">
        <v>46318</v>
      </c>
      <c r="I10" s="5" t="s">
        <v>52</v>
      </c>
      <c r="J10" s="5" t="s">
        <v>79</v>
      </c>
      <c r="K10" s="5">
        <f t="shared" si="0"/>
        <v>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5" t="s">
        <v>80</v>
      </c>
      <c r="B11" s="5" t="s">
        <v>71</v>
      </c>
      <c r="C11" s="5" t="s">
        <v>81</v>
      </c>
      <c r="D11" s="5">
        <v>46315</v>
      </c>
      <c r="E11" s="5" t="s">
        <v>59</v>
      </c>
      <c r="F11" s="5">
        <v>46317</v>
      </c>
      <c r="G11" s="5">
        <v>46318</v>
      </c>
      <c r="H11" s="5">
        <v>46319</v>
      </c>
      <c r="I11" s="5" t="s">
        <v>52</v>
      </c>
      <c r="J11" s="5" t="s">
        <v>82</v>
      </c>
      <c r="K11" s="5">
        <f t="shared" si="0"/>
        <v>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" customHeight="1">
      <c r="A12" s="5" t="s">
        <v>83</v>
      </c>
      <c r="B12" s="5" t="s">
        <v>71</v>
      </c>
      <c r="C12" s="5" t="s">
        <v>84</v>
      </c>
      <c r="D12" s="5">
        <v>46315</v>
      </c>
      <c r="E12" s="5" t="s">
        <v>59</v>
      </c>
      <c r="F12" s="5">
        <v>46318</v>
      </c>
      <c r="G12" s="5">
        <v>46319</v>
      </c>
      <c r="H12" s="5">
        <v>46320</v>
      </c>
      <c r="I12" s="5" t="s">
        <v>52</v>
      </c>
      <c r="J12" s="5" t="s">
        <v>85</v>
      </c>
      <c r="K12" s="5">
        <f t="shared" si="0"/>
        <v>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3" t="s">
        <v>86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</sheetData>
  <mergeCells count="2">
    <mergeCell ref="A1:K1"/>
    <mergeCell ref="A15:K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0"/>
  <sheetViews>
    <sheetView showGridLines="0" workbookViewId="0">
      <pane ySplit="3" topLeftCell="A4" activePane="bottomLeft" state="frozen"/>
      <selection pane="bottomLeft" activeCell="H19" sqref="H19"/>
    </sheetView>
  </sheetViews>
  <sheetFormatPr defaultRowHeight="13.8"/>
  <cols>
    <col min="1" max="4" width="15" customWidth="1"/>
    <col min="5" max="5" width="56.8984375" customWidth="1"/>
    <col min="6" max="7" width="15" customWidth="1"/>
    <col min="8" max="8" width="18" customWidth="1"/>
  </cols>
  <sheetData>
    <row r="1" spans="1:26" ht="19.2" customHeight="1">
      <c r="A1" s="8" t="s">
        <v>87</v>
      </c>
      <c r="B1" s="8"/>
      <c r="C1" s="8"/>
      <c r="D1" s="8"/>
      <c r="E1" s="8"/>
      <c r="F1" s="8"/>
      <c r="G1" s="8"/>
      <c r="H1" s="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5" t="s">
        <v>88</v>
      </c>
      <c r="B3" s="5" t="s">
        <v>57</v>
      </c>
      <c r="C3" s="5" t="s">
        <v>71</v>
      </c>
      <c r="D3" s="5" t="s">
        <v>89</v>
      </c>
      <c r="E3" s="5" t="s">
        <v>90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5" t="s">
        <v>91</v>
      </c>
      <c r="B4" s="5">
        <f>COUNTIF(Тақта!$B$4:$B$12,"Sprint 1")</f>
        <v>4</v>
      </c>
      <c r="C4" s="5">
        <f>COUNTIF(Тақта!$B$4:$B$12,"Sprint 2")</f>
        <v>5</v>
      </c>
      <c r="D4" s="5">
        <f>C4-B4</f>
        <v>1</v>
      </c>
      <c r="E4" s="5" t="s">
        <v>92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 customHeight="1">
      <c r="A5" s="5" t="s">
        <v>93</v>
      </c>
      <c r="B5" s="5">
        <f>AVERAGE(Тақта!$K$4:$K$7)</f>
        <v>3</v>
      </c>
      <c r="C5" s="5">
        <f>AVERAGE(Тақта!$K$8:$K$12)</f>
        <v>1.8</v>
      </c>
      <c r="D5" s="5">
        <f>C5-B5</f>
        <v>-1.2</v>
      </c>
      <c r="E5" s="5" t="s">
        <v>94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6" customHeight="1">
      <c r="A6" s="5" t="s">
        <v>95</v>
      </c>
      <c r="B6" s="5">
        <f>MAX(Тақта!$K$4:$K$7)</f>
        <v>5</v>
      </c>
      <c r="C6" s="5">
        <f>MAX(Тақта!$K$8:$K$12)</f>
        <v>2</v>
      </c>
      <c r="D6" s="5">
        <f>C6-B6</f>
        <v>-3</v>
      </c>
      <c r="E6" s="5" t="s">
        <v>96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8" customHeight="1">
      <c r="A7" s="5" t="s">
        <v>97</v>
      </c>
      <c r="B7" s="5" t="s">
        <v>98</v>
      </c>
      <c r="C7" s="5" t="s">
        <v>99</v>
      </c>
      <c r="D7" s="5" t="s">
        <v>100</v>
      </c>
      <c r="E7" s="5" t="s">
        <v>101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5" t="s">
        <v>102</v>
      </c>
      <c r="B10" s="5" t="s">
        <v>49</v>
      </c>
      <c r="C10" s="5" t="s">
        <v>51</v>
      </c>
      <c r="D10" s="5" t="s">
        <v>34</v>
      </c>
      <c r="E10" s="5" t="s">
        <v>52</v>
      </c>
      <c r="F10" s="1"/>
      <c r="G10" s="5" t="s">
        <v>103</v>
      </c>
      <c r="H10" s="5" t="s">
        <v>90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5">
        <v>46308</v>
      </c>
      <c r="B11" s="5">
        <f>COUNTIFS(Тақта!$D$4:$D$12,"&lt;="&amp;A11,Тақта!$F$4:$F$12,"&gt;"&amp;A11)</f>
        <v>3</v>
      </c>
      <c r="C11" s="5">
        <f>COUNTIFS(Тақта!$F$4:$F$12,"&lt;="&amp;A11,Тақта!$G$4:$G$12,"&gt;"&amp;A11)</f>
        <v>1</v>
      </c>
      <c r="D11" s="5">
        <f>COUNTIFS(Тақта!$G$4:$G$12,"&lt;="&amp;A11,Тақта!$H$4:$H$12,"&gt;"&amp;A11)</f>
        <v>0</v>
      </c>
      <c r="E11" s="5">
        <f>COUNTIF(Тақта!$H$4:$H$12,"&lt;="&amp;A11)</f>
        <v>0</v>
      </c>
      <c r="F11" s="1"/>
      <c r="G11" s="5" t="s">
        <v>49</v>
      </c>
      <c r="H11" s="5" t="s">
        <v>104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5">
        <v>46309</v>
      </c>
      <c r="B12" s="5">
        <f>COUNTIFS(Тақта!$D$4:$D$12,"&lt;="&amp;A12,Тақта!$F$4:$F$12,"&gt;"&amp;A12)</f>
        <v>1</v>
      </c>
      <c r="C12" s="5">
        <f>COUNTIFS(Тақта!$F$4:$F$12,"&lt;="&amp;A12,Тақта!$G$4:$G$12,"&gt;"&amp;A12)</f>
        <v>2</v>
      </c>
      <c r="D12" s="5">
        <f>COUNTIFS(Тақта!$G$4:$G$12,"&lt;="&amp;A12,Тақта!$H$4:$H$12,"&gt;"&amp;A12)</f>
        <v>0</v>
      </c>
      <c r="E12" s="5">
        <f>COUNTIF(Тақта!$H$4:$H$12,"&lt;="&amp;A12)</f>
        <v>1</v>
      </c>
      <c r="F12" s="1"/>
      <c r="G12" s="5" t="s">
        <v>51</v>
      </c>
      <c r="H12" s="5" t="s">
        <v>105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5">
        <v>46310</v>
      </c>
      <c r="B13" s="5">
        <f>COUNTIFS(Тақта!$D$4:$D$12,"&lt;="&amp;A13,Тақта!$F$4:$F$12,"&gt;"&amp;A13)</f>
        <v>0</v>
      </c>
      <c r="C13" s="5">
        <f>COUNTIFS(Тақта!$F$4:$F$12,"&lt;="&amp;A13,Тақта!$G$4:$G$12,"&gt;"&amp;A13)</f>
        <v>3</v>
      </c>
      <c r="D13" s="5">
        <f>COUNTIFS(Тақта!$G$4:$G$12,"&lt;="&amp;A13,Тақта!$H$4:$H$12,"&gt;"&amp;A13)</f>
        <v>0</v>
      </c>
      <c r="E13" s="5">
        <f>COUNTIF(Тақта!$H$4:$H$12,"&lt;="&amp;A13)</f>
        <v>1</v>
      </c>
      <c r="F13" s="1"/>
      <c r="G13" s="5" t="s">
        <v>34</v>
      </c>
      <c r="H13" s="5" t="s">
        <v>106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5">
        <v>46311</v>
      </c>
      <c r="B14" s="5">
        <f>COUNTIFS(Тақта!$D$4:$D$12,"&lt;="&amp;A14,Тақта!$F$4:$F$12,"&gt;"&amp;A14)</f>
        <v>0</v>
      </c>
      <c r="C14" s="5">
        <f>COUNTIFS(Тақта!$F$4:$F$12,"&lt;="&amp;A14,Тақта!$G$4:$G$12,"&gt;"&amp;A14)</f>
        <v>2</v>
      </c>
      <c r="D14" s="5">
        <f>COUNTIFS(Тақта!$G$4:$G$12,"&lt;="&amp;A14,Тақта!$H$4:$H$12,"&gt;"&amp;A14)</f>
        <v>1</v>
      </c>
      <c r="E14" s="5">
        <f>COUNTIF(Тақта!$H$4:$H$12,"&lt;="&amp;A14)</f>
        <v>1</v>
      </c>
      <c r="F14" s="1"/>
      <c r="G14" s="5" t="s">
        <v>52</v>
      </c>
      <c r="H14" s="5" t="s">
        <v>107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5">
        <v>46312</v>
      </c>
      <c r="B15" s="5">
        <f>COUNTIFS(Тақта!$D$4:$D$12,"&lt;="&amp;A15,Тақта!$F$4:$F$12,"&gt;"&amp;A15)</f>
        <v>0</v>
      </c>
      <c r="C15" s="5">
        <f>COUNTIFS(Тақта!$F$4:$F$12,"&lt;="&amp;A15,Тақта!$G$4:$G$12,"&gt;"&amp;A15)</f>
        <v>1</v>
      </c>
      <c r="D15" s="5">
        <f>COUNTIFS(Тақта!$G$4:$G$12,"&lt;="&amp;A15,Тақта!$H$4:$H$12,"&gt;"&amp;A15)</f>
        <v>1</v>
      </c>
      <c r="E15" s="5">
        <f>COUNTIF(Тақта!$H$4:$H$12,"&lt;="&amp;A15)</f>
        <v>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5">
        <v>46313</v>
      </c>
      <c r="B16" s="5">
        <f>COUNTIFS(Тақта!$D$4:$D$12,"&lt;="&amp;A16,Тақта!$F$4:$F$12,"&gt;"&amp;A16)</f>
        <v>0</v>
      </c>
      <c r="C16" s="5">
        <f>COUNTIFS(Тақта!$F$4:$F$12,"&lt;="&amp;A16,Тақта!$G$4:$G$12,"&gt;"&amp;A16)</f>
        <v>0</v>
      </c>
      <c r="D16" s="5">
        <f>COUNTIFS(Тақта!$G$4:$G$12,"&lt;="&amp;A16,Тақта!$H$4:$H$12,"&gt;"&amp;A16)</f>
        <v>1</v>
      </c>
      <c r="E16" s="5">
        <f>COUNTIF(Тақта!$H$4:$H$12,"&lt;="&amp;A16)</f>
        <v>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5">
        <v>46314</v>
      </c>
      <c r="B17" s="5">
        <f>COUNTIFS(Тақта!$D$4:$D$12,"&lt;="&amp;A17,Тақта!$F$4:$F$12,"&gt;"&amp;A17)</f>
        <v>0</v>
      </c>
      <c r="C17" s="5">
        <f>COUNTIFS(Тақта!$F$4:$F$12,"&lt;="&amp;A17,Тақта!$G$4:$G$12,"&gt;"&amp;A17)</f>
        <v>0</v>
      </c>
      <c r="D17" s="5">
        <f>COUNTIFS(Тақта!$G$4:$G$12,"&lt;="&amp;A17,Тақта!$H$4:$H$12,"&gt;"&amp;A17)</f>
        <v>0</v>
      </c>
      <c r="E17" s="5">
        <f>COUNTIF(Тақта!$H$4:$H$12,"&lt;="&amp;A17)</f>
        <v>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5">
        <v>46315</v>
      </c>
      <c r="B18" s="5">
        <f>COUNTIFS(Тақта!$D$4:$D$12,"&lt;="&amp;A18,Тақта!$F$4:$F$12,"&gt;"&amp;A18)</f>
        <v>4</v>
      </c>
      <c r="C18" s="5">
        <f>COUNTIFS(Тақта!$F$4:$F$12,"&lt;="&amp;A18,Тақта!$G$4:$G$12,"&gt;"&amp;A18)</f>
        <v>1</v>
      </c>
      <c r="D18" s="5">
        <f>COUNTIFS(Тақта!$G$4:$G$12,"&lt;="&amp;A18,Тақта!$H$4:$H$12,"&gt;"&amp;A18)</f>
        <v>0</v>
      </c>
      <c r="E18" s="5">
        <f>COUNTIF(Тақта!$H$4:$H$12,"&lt;="&amp;A18)</f>
        <v>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5">
        <v>46316</v>
      </c>
      <c r="B19" s="5">
        <f>COUNTIFS(Тақта!$D$4:$D$12,"&lt;="&amp;A19,Тақта!$F$4:$F$12,"&gt;"&amp;A19)</f>
        <v>2</v>
      </c>
      <c r="C19" s="5">
        <f>COUNTIFS(Тақта!$F$4:$F$12,"&lt;="&amp;A19,Тақта!$G$4:$G$12,"&gt;"&amp;A19)</f>
        <v>2</v>
      </c>
      <c r="D19" s="5">
        <f>COUNTIFS(Тақта!$G$4:$G$12,"&lt;="&amp;A19,Тақта!$H$4:$H$12,"&gt;"&amp;A19)</f>
        <v>0</v>
      </c>
      <c r="E19" s="5">
        <f>COUNTIF(Тақта!$H$4:$H$12,"&lt;="&amp;A19)</f>
        <v>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5">
        <v>46317</v>
      </c>
      <c r="B20" s="5">
        <f>COUNTIFS(Тақта!$D$4:$D$12,"&lt;="&amp;A20,Тақта!$F$4:$F$12,"&gt;"&amp;A20)</f>
        <v>1</v>
      </c>
      <c r="C20" s="5">
        <f>COUNTIFS(Тақта!$F$4:$F$12,"&lt;="&amp;A20,Тақта!$G$4:$G$12,"&gt;"&amp;A20)</f>
        <v>1</v>
      </c>
      <c r="D20" s="5">
        <f>COUNTIFS(Тақта!$G$4:$G$12,"&lt;="&amp;A20,Тақта!$H$4:$H$12,"&gt;"&amp;A20)</f>
        <v>2</v>
      </c>
      <c r="E20" s="5">
        <f>COUNTIF(Тақта!$H$4:$H$12,"&lt;="&amp;A20)</f>
        <v>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5">
        <v>46318</v>
      </c>
      <c r="B21" s="5">
        <f>COUNTIFS(Тақта!$D$4:$D$12,"&lt;="&amp;A21,Тақта!$F$4:$F$12,"&gt;"&amp;A21)</f>
        <v>0</v>
      </c>
      <c r="C21" s="5">
        <f>COUNTIFS(Тақта!$F$4:$F$12,"&lt;="&amp;A21,Тақта!$G$4:$G$12,"&gt;"&amp;A21)</f>
        <v>1</v>
      </c>
      <c r="D21" s="5">
        <f>COUNTIFS(Тақта!$G$4:$G$12,"&lt;="&amp;A21,Тақта!$H$4:$H$12,"&gt;"&amp;A21)</f>
        <v>1</v>
      </c>
      <c r="E21" s="5">
        <f>COUNTIF(Тақта!$H$4:$H$12,"&lt;="&amp;A21)</f>
        <v>7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5">
        <v>46319</v>
      </c>
      <c r="B22" s="5">
        <f>COUNTIFS(Тақта!$D$4:$D$12,"&lt;="&amp;A22,Тақта!$F$4:$F$12,"&gt;"&amp;A22)</f>
        <v>0</v>
      </c>
      <c r="C22" s="5">
        <f>COUNTIFS(Тақта!$F$4:$F$12,"&lt;="&amp;A22,Тақта!$G$4:$G$12,"&gt;"&amp;A22)</f>
        <v>0</v>
      </c>
      <c r="D22" s="5">
        <f>COUNTIFS(Тақта!$G$4:$G$12,"&lt;="&amp;A22,Тақта!$H$4:$H$12,"&gt;"&amp;A22)</f>
        <v>1</v>
      </c>
      <c r="E22" s="5">
        <f>COUNTIF(Тақта!$H$4:$H$12,"&lt;="&amp;A22)</f>
        <v>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5">
        <v>46320</v>
      </c>
      <c r="B23" s="5">
        <f>COUNTIFS(Тақта!$D$4:$D$12,"&lt;="&amp;A23,Тақта!$F$4:$F$12,"&gt;"&amp;A23)</f>
        <v>0</v>
      </c>
      <c r="C23" s="5">
        <f>COUNTIFS(Тақта!$F$4:$F$12,"&lt;="&amp;A23,Тақта!$G$4:$G$12,"&gt;"&amp;A23)</f>
        <v>0</v>
      </c>
      <c r="D23" s="5">
        <f>COUNTIFS(Тақта!$G$4:$G$12,"&lt;="&amp;A23,Тақта!$H$4:$H$12,"&gt;"&amp;A23)</f>
        <v>0</v>
      </c>
      <c r="E23" s="5">
        <f>COUNTIF(Тақта!$H$4:$H$12,"&lt;="&amp;A23)</f>
        <v>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5">
        <v>46321</v>
      </c>
      <c r="B24" s="5">
        <f>COUNTIFS(Тақта!$D$4:$D$12,"&lt;="&amp;A24,Тақта!$F$4:$F$12,"&gt;"&amp;A24)</f>
        <v>0</v>
      </c>
      <c r="C24" s="5">
        <f>COUNTIFS(Тақта!$F$4:$F$12,"&lt;="&amp;A24,Тақта!$G$4:$G$12,"&gt;"&amp;A24)</f>
        <v>0</v>
      </c>
      <c r="D24" s="5">
        <f>COUNTIFS(Тақта!$G$4:$G$12,"&lt;="&amp;A24,Тақта!$H$4:$H$12,"&gt;"&amp;A24)</f>
        <v>0</v>
      </c>
      <c r="E24" s="5">
        <f>COUNTIF(Тақта!$H$4:$H$12,"&lt;="&amp;A24)</f>
        <v>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6" customHeight="1">
      <c r="A27" s="2" t="s">
        <v>108</v>
      </c>
      <c r="B27" s="2"/>
      <c r="C27" s="2"/>
      <c r="D27" s="2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</sheetData>
  <mergeCells count="2">
    <mergeCell ref="A1:H1"/>
    <mergeCell ref="A27:E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0"/>
  <sheetViews>
    <sheetView showGridLines="0" workbookViewId="0">
      <selection activeCell="C18" sqref="C18"/>
    </sheetView>
  </sheetViews>
  <sheetFormatPr defaultRowHeight="13.8"/>
  <cols>
    <col min="1" max="1" width="24" customWidth="1"/>
    <col min="2" max="2" width="25" customWidth="1"/>
    <col min="3" max="3" width="27" customWidth="1"/>
    <col min="4" max="4" width="84.296875" customWidth="1"/>
  </cols>
  <sheetData>
    <row r="1" spans="1:26" ht="19.2" customHeight="1">
      <c r="A1" s="7" t="s">
        <v>109</v>
      </c>
      <c r="B1" s="7"/>
      <c r="C1" s="7"/>
      <c r="D1" s="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5"/>
      <c r="B2" s="5"/>
      <c r="C2" s="5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5" t="s">
        <v>110</v>
      </c>
      <c r="B3" s="5" t="s">
        <v>57</v>
      </c>
      <c r="C3" s="5" t="s">
        <v>71</v>
      </c>
      <c r="D3" s="5" t="s">
        <v>111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5" t="s">
        <v>112</v>
      </c>
      <c r="B4" s="5" t="s">
        <v>113</v>
      </c>
      <c r="C4" s="5" t="s">
        <v>113</v>
      </c>
      <c r="D4" s="5" t="s">
        <v>114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 customHeight="1">
      <c r="A5" s="5" t="s">
        <v>115</v>
      </c>
      <c r="B5" s="5" t="s">
        <v>116</v>
      </c>
      <c r="C5" s="5" t="s">
        <v>116</v>
      </c>
      <c r="D5" s="5" t="s">
        <v>117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 customHeight="1">
      <c r="A6" s="5" t="s">
        <v>118</v>
      </c>
      <c r="B6" s="5" t="s">
        <v>119</v>
      </c>
      <c r="C6" s="5" t="s">
        <v>116</v>
      </c>
      <c r="D6" s="5" t="s">
        <v>120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 customHeight="1">
      <c r="A7" s="5" t="s">
        <v>121</v>
      </c>
      <c r="B7" s="5" t="s">
        <v>122</v>
      </c>
      <c r="C7" s="5" t="s">
        <v>123</v>
      </c>
      <c r="D7" s="5" t="s">
        <v>124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 customHeight="1">
      <c r="A8" s="5" t="s">
        <v>125</v>
      </c>
      <c r="B8" s="5" t="s">
        <v>126</v>
      </c>
      <c r="C8" s="5" t="s">
        <v>127</v>
      </c>
      <c r="D8" s="5" t="s">
        <v>128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" customHeight="1">
      <c r="A9" s="5" t="s">
        <v>129</v>
      </c>
      <c r="B9" s="5" t="s">
        <v>130</v>
      </c>
      <c r="C9" s="5" t="s">
        <v>131</v>
      </c>
      <c r="D9" s="5" t="s">
        <v>132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" customHeight="1">
      <c r="A10" s="5" t="s">
        <v>133</v>
      </c>
      <c r="B10" s="5" t="s">
        <v>134</v>
      </c>
      <c r="C10" s="5" t="s">
        <v>135</v>
      </c>
      <c r="D10" s="5" t="s">
        <v>136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" customHeight="1">
      <c r="A11" s="5" t="s">
        <v>137</v>
      </c>
      <c r="B11" s="5" t="s">
        <v>138</v>
      </c>
      <c r="C11" s="5" t="s">
        <v>138</v>
      </c>
      <c r="D11" s="5" t="s">
        <v>139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4" t="s">
        <v>140</v>
      </c>
      <c r="B13" s="4"/>
      <c r="C13" s="4"/>
      <c r="D13" s="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</sheetData>
  <mergeCells count="2">
    <mergeCell ref="A1:D1"/>
    <mergeCell ref="A13:D13"/>
  </mergeCells>
  <pageMargins left="0.7" right="0.7" top="0.75" bottom="0.75" header="0.3" footer="0.3"/>
  <ignoredErrors>
    <ignoredError sqref="B5:B6 C5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Шолу</vt:lpstr>
      <vt:lpstr>Тақта</vt:lpstr>
      <vt:lpstr>Метрикалар</vt:lpstr>
      <vt:lpstr>Процесс хартиясы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eras1wxw .</cp:lastModifiedBy>
  <dcterms:modified xsi:type="dcterms:W3CDTF">2026-10-29T11:14:22Z</dcterms:modified>
</cp:coreProperties>
</file>